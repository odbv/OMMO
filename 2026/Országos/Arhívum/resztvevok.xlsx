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ormaci\Desktop\oskola IX+\XII\_versenyek\OMMO\"/>
    </mc:Choice>
  </mc:AlternateContent>
  <xr:revisionPtr revIDLastSave="0" documentId="13_ncr:1_{D9AC8FF8-5E3E-43D0-8589-EADB98DCCE68}" xr6:coauthVersionLast="47" xr6:coauthVersionMax="47" xr10:uidLastSave="{00000000-0000-0000-0000-000000000000}"/>
  <bookViews>
    <workbookView xWindow="-120" yWindow="-120" windowWidth="29040" windowHeight="15720" tabRatio="596" activeTab="10" xr2:uid="{721499A6-9741-4397-8CE0-E7FD2E5560B1}"/>
  </bookViews>
  <sheets>
    <sheet name="V" sheetId="2" r:id="rId1"/>
    <sheet name="VI" sheetId="3" r:id="rId2"/>
    <sheet name="VII" sheetId="4" r:id="rId3"/>
    <sheet name="VIII" sheetId="5" r:id="rId4"/>
    <sheet name="IX" sheetId="6" r:id="rId5"/>
    <sheet name="X" sheetId="7" r:id="rId6"/>
    <sheet name="XI" sheetId="8" r:id="rId7"/>
    <sheet name="XII" sheetId="1" r:id="rId8"/>
    <sheet name="Összegzés" sheetId="13" r:id="rId9"/>
    <sheet name="Kisérőtanárok" sheetId="14" r:id="rId10"/>
    <sheet name="Versenybizottság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<sst xmlns="http://schemas.openxmlformats.org/spreadsheetml/2006/main" count="897" uniqueCount="345">
  <si>
    <t>Budacsek Tímea</t>
  </si>
  <si>
    <t>Csiky Gergely Főgimnázium</t>
  </si>
  <si>
    <t>Arad</t>
  </si>
  <si>
    <t>Bónizs Boglárka</t>
  </si>
  <si>
    <t>Ady Endre Elméleti Líceum, Nagyvárad</t>
  </si>
  <si>
    <t>Bihar</t>
  </si>
  <si>
    <t>Altfatter Adolf</t>
  </si>
  <si>
    <t>Orbán Dávid</t>
  </si>
  <si>
    <t>Áprily Lajos Főgimnázium, Brassó</t>
  </si>
  <si>
    <t>Brassó</t>
  </si>
  <si>
    <t>Gevald Dániel Mátyás</t>
  </si>
  <si>
    <t>János Zsigmond Unitárius Kollégium, Kolozsvár</t>
  </si>
  <si>
    <t>Kolozs</t>
  </si>
  <si>
    <t>Horváth Fülöp</t>
  </si>
  <si>
    <t>Apáczai Csere János Elméleti Líceum, Kolozsvár</t>
  </si>
  <si>
    <t>Madaras Virág</t>
  </si>
  <si>
    <t>Báthory István Elméleti Líceum, Kolozsvár</t>
  </si>
  <si>
    <t>Veress Zalán</t>
  </si>
  <si>
    <t>Dr. Csiha Kálmán Református Kollégium, Kézdivásárhely</t>
  </si>
  <si>
    <t>Kovászna</t>
  </si>
  <si>
    <t>Janó Ákos</t>
  </si>
  <si>
    <t>Székely Mikó Kollégium, Sepsiszentgyörgy</t>
  </si>
  <si>
    <t>Kanabé Áron</t>
  </si>
  <si>
    <t>Nagy Mózes Kollégium, Kézdivásárhely</t>
  </si>
  <si>
    <t>Császár Anna-Róza</t>
  </si>
  <si>
    <t>Márton Áron Főgimnázium, Csíkszereda</t>
  </si>
  <si>
    <t>Hargita</t>
  </si>
  <si>
    <t>Tordai Krisztián</t>
  </si>
  <si>
    <t>Tamási Áron Gimnázium, Székelyudvarhely</t>
  </si>
  <si>
    <t>Domokos Anna-Mária</t>
  </si>
  <si>
    <t>Bolyai Farkas Elméleti Líceum</t>
  </si>
  <si>
    <t>Maros</t>
  </si>
  <si>
    <t>Bűcs Máté</t>
  </si>
  <si>
    <t>Nagykárolyi Elméleti Liceum</t>
  </si>
  <si>
    <t>Szatmár</t>
  </si>
  <si>
    <t>Péter Hanna</t>
  </si>
  <si>
    <t>Bartók Béla Elméleti Líceum, Temesvár</t>
  </si>
  <si>
    <t>Temes</t>
  </si>
  <si>
    <t>Név</t>
  </si>
  <si>
    <t>Iskola</t>
  </si>
  <si>
    <t>Megye</t>
  </si>
  <si>
    <t>Revilák Regina</t>
  </si>
  <si>
    <t>Pongor Amira</t>
  </si>
  <si>
    <t>Horváth János Elméleti Líceum, Margitta</t>
  </si>
  <si>
    <t>Olaru Hannelore</t>
  </si>
  <si>
    <t>Keresztúri- Mild Péter</t>
  </si>
  <si>
    <t>Gaiu Márk</t>
  </si>
  <si>
    <t>Marginean-Peczi Márk</t>
  </si>
  <si>
    <t>Onisifor Ghibu Elméleti Líceum, Kolozsvár</t>
  </si>
  <si>
    <t>Orosz Dávid</t>
  </si>
  <si>
    <t>Demjén Adorján</t>
  </si>
  <si>
    <t>Albert Előd</t>
  </si>
  <si>
    <t>Orosz Aletta</t>
  </si>
  <si>
    <t>Vaskertes Általános Iskola, Gyergyószentmiklós</t>
  </si>
  <si>
    <t>Toma Botond</t>
  </si>
  <si>
    <t>Nagy Imre Általános Iskola, Csíkszereda</t>
  </si>
  <si>
    <t>Szőcs Lehel</t>
  </si>
  <si>
    <t>Tankó Áron</t>
  </si>
  <si>
    <t>Petőfi Sándor Általános Iskola, Csíkszereda</t>
  </si>
  <si>
    <t>Benedek Ábel</t>
  </si>
  <si>
    <t>Segítő Mária Római Katolikus Gimnázium, Csíkszereda</t>
  </si>
  <si>
    <t>Dajka Botond</t>
  </si>
  <si>
    <t>Siklodi Ákos</t>
  </si>
  <si>
    <t>Csürös Gyopár</t>
  </si>
  <si>
    <t>Lakatos Réka</t>
  </si>
  <si>
    <t>Benedek Elek Pedagógiai Líceum, Székelyudvarhely</t>
  </si>
  <si>
    <t>Korodi Csongor</t>
  </si>
  <si>
    <t>Nagy István Művészeti Középiskola, Csíkszereda</t>
  </si>
  <si>
    <t>Könczei Kamilla</t>
  </si>
  <si>
    <t>Kós Károly Általános Iskola, Gyergyószentmiklós</t>
  </si>
  <si>
    <t>Tamás-Szóra Botond</t>
  </si>
  <si>
    <t>Baczkamadarasi Kis Gergely Református Kollégium, Székelyudvarhely</t>
  </si>
  <si>
    <t>Bodor Brigitta</t>
  </si>
  <si>
    <t>Németh László Elméleti Líceum, Nagybánya</t>
  </si>
  <si>
    <t>Máramaros</t>
  </si>
  <si>
    <t>Tanka Illés</t>
  </si>
  <si>
    <t>Bartos Máté</t>
  </si>
  <si>
    <t>Dr.Bernády György Általános Iskola</t>
  </si>
  <si>
    <t>Horváth Nimród</t>
  </si>
  <si>
    <t>Friedrich Schiller Általános Iskola</t>
  </si>
  <si>
    <t>Demeter Sára</t>
  </si>
  <si>
    <t>András Dániel</t>
  </si>
  <si>
    <t>Nagy Panna</t>
  </si>
  <si>
    <t>Liviu Rebreanu Általános Iskola</t>
  </si>
  <si>
    <t>Szilághi Timea</t>
  </si>
  <si>
    <t>Báthory Istvan Általános Iskola, Medgyes</t>
  </si>
  <si>
    <t>Szeben</t>
  </si>
  <si>
    <t>Kupás Timea Lilla</t>
  </si>
  <si>
    <t>Mihai Eminescu Általános Iskola, Zilah</t>
  </si>
  <si>
    <t>Szilágy</t>
  </si>
  <si>
    <t>Nagy Dávid</t>
  </si>
  <si>
    <t>Szacsvay Imre Általános Iskola, Nagyvárad</t>
  </si>
  <si>
    <t>Szász Erik</t>
  </si>
  <si>
    <t>15-ös Általános Iskola, Brassó</t>
  </si>
  <si>
    <t>Süket Attila</t>
  </si>
  <si>
    <t>Tohotan Benjamin Stefan</t>
  </si>
  <si>
    <t>Harausz Márk</t>
  </si>
  <si>
    <t>Páll-Szabó Ágnes-Dorottya</t>
  </si>
  <si>
    <t>Kincses Péter</t>
  </si>
  <si>
    <t>Szép-Márk Csanád</t>
  </si>
  <si>
    <t>Juhász Regő</t>
  </si>
  <si>
    <t>Kiss L. Dávid</t>
  </si>
  <si>
    <t>Téglás Gábor Elméleti Líceum</t>
  </si>
  <si>
    <t>Hunyad</t>
  </si>
  <si>
    <t>Szabó-Mező Fanni</t>
  </si>
  <si>
    <t>Tóth Szilamér</t>
  </si>
  <si>
    <t>Bethlen Gábor Általános Iskola, Székelyudvarhely</t>
  </si>
  <si>
    <t>Ferencz Márk</t>
  </si>
  <si>
    <t>Liviu Rebreanu Szakközépiskola, Balánbánya</t>
  </si>
  <si>
    <t>Barabás Ágnes</t>
  </si>
  <si>
    <t>Sándor Rokaly Magor</t>
  </si>
  <si>
    <t>Fogarasy Mihály Általános Iskola, Gyergyószentmiklós</t>
  </si>
  <si>
    <t>Somogyi Dorottya Mária</t>
  </si>
  <si>
    <t>Leöwey Klára Elméleti Líceum, Máramarossziget</t>
  </si>
  <si>
    <t>Simon Bence Bálint</t>
  </si>
  <si>
    <t>Erdőcsinádi Általános Iskola</t>
  </si>
  <si>
    <t>Vajda Balázs</t>
  </si>
  <si>
    <t>Szőcs Tamás</t>
  </si>
  <si>
    <t>Tudor Vladimirescu Gimnázium</t>
  </si>
  <si>
    <t>Jakab Róbert Ádám</t>
  </si>
  <si>
    <t>Művészeti Főgimnázium</t>
  </si>
  <si>
    <t>Bacsó Márk</t>
  </si>
  <si>
    <t>Simion Bărnuțiu Általános Iskola, Zilah</t>
  </si>
  <si>
    <t>Demjén Péter</t>
  </si>
  <si>
    <t>Balog Bence Zoltán</t>
  </si>
  <si>
    <t>Rákóczi Ferenc Általános Iskola Szatmárnémeti</t>
  </si>
  <si>
    <t>Berecz Hunor Csongor</t>
  </si>
  <si>
    <t>Szász Tímea</t>
  </si>
  <si>
    <t>Szövérdfi-Szép Noémi</t>
  </si>
  <si>
    <t>Tar Nándor</t>
  </si>
  <si>
    <t>Diós Dominik</t>
  </si>
  <si>
    <t>Miskolczy Károly Általános Iskola, Micske</t>
  </si>
  <si>
    <t>Nagy Mózes Dániel</t>
  </si>
  <si>
    <t>Halas Júlia</t>
  </si>
  <si>
    <t>Pap I.Ingrid-Antonia</t>
  </si>
  <si>
    <t>Andrei Mureșanu Főgimnázium ,Beszterce</t>
  </si>
  <si>
    <t>Beszterce-Naszód</t>
  </si>
  <si>
    <t>Magdó Ármin</t>
  </si>
  <si>
    <t>Zajzoni Rab István Elméleti Líceum, Négyfalu</t>
  </si>
  <si>
    <t>Nagy Csongor</t>
  </si>
  <si>
    <t>Roth Balázs</t>
  </si>
  <si>
    <t>Pap Anna</t>
  </si>
  <si>
    <t>Petőfi Sándor Általános Iskola, Kézdivásárhely</t>
  </si>
  <si>
    <t>Lőrincz Barna</t>
  </si>
  <si>
    <t>Horváth Ágnes</t>
  </si>
  <si>
    <t>Marosi Gergő</t>
  </si>
  <si>
    <t>József Attila Iskola, Csíkszereda</t>
  </si>
  <si>
    <t>Csóti Zsombor</t>
  </si>
  <si>
    <t>József Attila Általános Iskola, Csíkszereda</t>
  </si>
  <si>
    <t>Bereczki Kovács Balázs</t>
  </si>
  <si>
    <t>Szász Eszter Brigitta</t>
  </si>
  <si>
    <t>Vaszi Eszter</t>
  </si>
  <si>
    <t>Lőrincz Sára</t>
  </si>
  <si>
    <t>Horváth Tímea</t>
  </si>
  <si>
    <t>Erőss Mátyás</t>
  </si>
  <si>
    <t>Egri Gergő</t>
  </si>
  <si>
    <t>Bodor Tamás</t>
  </si>
  <si>
    <t>Török Tekla</t>
  </si>
  <si>
    <t>Balázs Erik</t>
  </si>
  <si>
    <t>Nemes Nimród</t>
  </si>
  <si>
    <t>Sárossy Anna</t>
  </si>
  <si>
    <t>Brassai Ágota Enikő</t>
  </si>
  <si>
    <t>George Cosbuc Általános Iskola</t>
  </si>
  <si>
    <t>Kusztos Ede Bence</t>
  </si>
  <si>
    <t>Boda Botond</t>
  </si>
  <si>
    <t>Octavian Goga Technológiai Líceum, Zsibó</t>
  </si>
  <si>
    <t>Geng Arlen</t>
  </si>
  <si>
    <t>Péter Barnabás</t>
  </si>
  <si>
    <t>Fehér Orsolya Erzsébet</t>
  </si>
  <si>
    <t>11-es számú Általános Iskola, Nagyvárad</t>
  </si>
  <si>
    <t>Benő Mátyás</t>
  </si>
  <si>
    <t>Bartha Péter</t>
  </si>
  <si>
    <t>Dénes Csenge</t>
  </si>
  <si>
    <t>Harausz Dávid</t>
  </si>
  <si>
    <t>Máthé Sára</t>
  </si>
  <si>
    <t>Borbáth Károly Általános Iskola, Vargyas</t>
  </si>
  <si>
    <t>Örsi Mátyás</t>
  </si>
  <si>
    <t>Váradi József Általános Iskola, Sepsiszentgyörgy</t>
  </si>
  <si>
    <t>Deák László Ábel</t>
  </si>
  <si>
    <t>Csomortáni Bernadett Csenge</t>
  </si>
  <si>
    <t>Laczkó Balázs</t>
  </si>
  <si>
    <t>Várday Soma</t>
  </si>
  <si>
    <t>Solti Szilveszter</t>
  </si>
  <si>
    <t>Karsai Zsófia Anna</t>
  </si>
  <si>
    <t>Szövérfi Norbert László</t>
  </si>
  <si>
    <t>Biró Mátyás</t>
  </si>
  <si>
    <t>Erszényi Edrik</t>
  </si>
  <si>
    <t>Bálint András Sámuel</t>
  </si>
  <si>
    <t>Báthory István Általános Iskola, Szilágysomlyó</t>
  </si>
  <si>
    <t>Bécsi Balázs</t>
  </si>
  <si>
    <t>Székely Petra</t>
  </si>
  <si>
    <t>Kalazanci Szent József  Római-Katolikus  Liceum Nagykároly</t>
  </si>
  <si>
    <t>Fórika Tamás</t>
  </si>
  <si>
    <t>Papp Mátyás</t>
  </si>
  <si>
    <t>Miklós Hunor</t>
  </si>
  <si>
    <t>Bokor Alpár</t>
  </si>
  <si>
    <t>Orosz Ákos István</t>
  </si>
  <si>
    <t>Salamon Ernő Gimnázium, Gyergyószentmiklós</t>
  </si>
  <si>
    <t>Szakács Judit-Eszter</t>
  </si>
  <si>
    <t>Ambrus Krisztián</t>
  </si>
  <si>
    <t>Kurkó Vivien</t>
  </si>
  <si>
    <t>Bács László</t>
  </si>
  <si>
    <t>Domokos András</t>
  </si>
  <si>
    <t>Szilágyi Tamás</t>
  </si>
  <si>
    <t>Bozsi Nóra Boglárka</t>
  </si>
  <si>
    <t>Bereczki Áron-Gergely</t>
  </si>
  <si>
    <t>Adorjáni Dávid</t>
  </si>
  <si>
    <t>Brassai Hunor-Tihamér</t>
  </si>
  <si>
    <t>Kommer Dominik</t>
  </si>
  <si>
    <t>Pop Csenge Natália</t>
  </si>
  <si>
    <t>Silvania Főgimnázium, Zilah</t>
  </si>
  <si>
    <t>Kiss Janka</t>
  </si>
  <si>
    <t>Nagy Viktória</t>
  </si>
  <si>
    <t>Vőrős Victoria</t>
  </si>
  <si>
    <t>Kovács Kristóf</t>
  </si>
  <si>
    <t>Gombos Domokos-Adrián</t>
  </si>
  <si>
    <t>Varga Vivien Hanna</t>
  </si>
  <si>
    <t>Ercse Ferenc</t>
  </si>
  <si>
    <t>Szentes Ágnes</t>
  </si>
  <si>
    <t>Sajter Klaus</t>
  </si>
  <si>
    <t>Bodor Ádám</t>
  </si>
  <si>
    <t>József Áron</t>
  </si>
  <si>
    <t>János Gergő Krisztián</t>
  </si>
  <si>
    <t>Horváth-Szombathy Vilmos</t>
  </si>
  <si>
    <t>Weisz Hunor</t>
  </si>
  <si>
    <t>Loga Jázmin Kata</t>
  </si>
  <si>
    <t>Gedeon Szabolcs</t>
  </si>
  <si>
    <t>Kölcsey Ferenc Főgimnázium Szatmárnémeti</t>
  </si>
  <si>
    <t>Kaplonyi Ákos</t>
  </si>
  <si>
    <t>Nagy Tamás</t>
  </si>
  <si>
    <t>Szász János</t>
  </si>
  <si>
    <t>Ferencz Szilárd</t>
  </si>
  <si>
    <t>Saioc David</t>
  </si>
  <si>
    <t>Ady Endre Elméleti Líceum, Bukarest</t>
  </si>
  <si>
    <t>Bukarest</t>
  </si>
  <si>
    <t>Balló Ádám Zsolt</t>
  </si>
  <si>
    <t>Visky Ágoston</t>
  </si>
  <si>
    <t>Mihai Eminescu Főigmnázium, Nagyvárad</t>
  </si>
  <si>
    <t>Sandor Dávid</t>
  </si>
  <si>
    <t>Kiss Csongor</t>
  </si>
  <si>
    <t>Bíró Andor</t>
  </si>
  <si>
    <t>Ruff Brigitta</t>
  </si>
  <si>
    <t>Vincze Tas-Csongor</t>
  </si>
  <si>
    <t>Bán Krisztián</t>
  </si>
  <si>
    <t>Kasler G.I. Edgár-Gábriel</t>
  </si>
  <si>
    <t>Csomós Dávid</t>
  </si>
  <si>
    <t>Barabás Botond</t>
  </si>
  <si>
    <t>Albert Bendegúz</t>
  </si>
  <si>
    <t>Ambrus-Szász Dávid</t>
  </si>
  <si>
    <t>Nagy Márton</t>
  </si>
  <si>
    <t>Mátyási Péter-Zsolt</t>
  </si>
  <si>
    <t>Pálosi Adél-Bernadett</t>
  </si>
  <si>
    <t>Szabó Vivien Malvina</t>
  </si>
  <si>
    <t>Borbély Zalán</t>
  </si>
  <si>
    <t>Simion Bărnuțiu Főgimnázium, Szilágysomlyó</t>
  </si>
  <si>
    <t>Dénes Máté Gergő</t>
  </si>
  <si>
    <t>Mák Borbála</t>
  </si>
  <si>
    <t>Kudor Laura</t>
  </si>
  <si>
    <t>Megyék</t>
  </si>
  <si>
    <t>Total:</t>
  </si>
  <si>
    <t>Budacsek Terezia</t>
  </si>
  <si>
    <t>Aurel Valicu Általános Iskola</t>
  </si>
  <si>
    <t>Biró Gabriella Kinga</t>
  </si>
  <si>
    <t>Kovács Melinda</t>
  </si>
  <si>
    <t>Andrei Muresanu Főgimnázium,Beszterce</t>
  </si>
  <si>
    <t>Fülöp Edith</t>
  </si>
  <si>
    <t>Jakab Noémi</t>
  </si>
  <si>
    <t>„Báthory István” Elméleti Líceum, Kolozsvár</t>
  </si>
  <si>
    <t>Soós Emőke</t>
  </si>
  <si>
    <t>"János Zsigmond" Unitárius Kollégium, Kolozsvár</t>
  </si>
  <si>
    <t>Kisgyörgy Alpár</t>
  </si>
  <si>
    <t>Péter Médi</t>
  </si>
  <si>
    <t>Mikes Kelemen Emélet Líceum, Sepsiszentgyörgy</t>
  </si>
  <si>
    <t>Mate Ladislau</t>
  </si>
  <si>
    <t>Oláh Csaba</t>
  </si>
  <si>
    <t>Páll Rákhel Olga</t>
  </si>
  <si>
    <t>Gagyi Anikó</t>
  </si>
  <si>
    <t>Orosz Adalbert</t>
  </si>
  <si>
    <t>Orosz Edit</t>
  </si>
  <si>
    <t>Sfântu Nicolae Elméleti Líceum, Gyergyószentmiklós</t>
  </si>
  <si>
    <t>Zákány Mónika Andrea</t>
  </si>
  <si>
    <t>Szilágyi Teréz Emőke</t>
  </si>
  <si>
    <t>Biró Imre Levente</t>
  </si>
  <si>
    <t>Bozsi Izabella</t>
  </si>
  <si>
    <t>Somosdi Általános Iskola</t>
  </si>
  <si>
    <t>Bernát Andrea</t>
  </si>
  <si>
    <t>Nagy Réka Mária</t>
  </si>
  <si>
    <t>Kalazanci Szent József Római Katolikus Líceum Nagykároly</t>
  </si>
  <si>
    <t>Kis Denisa</t>
  </si>
  <si>
    <t xml:space="preserve">Szeben </t>
  </si>
  <si>
    <t>dr.András Szilárd Károly</t>
  </si>
  <si>
    <t>Elnök</t>
  </si>
  <si>
    <t>Babeș–Bolyai Tudományegyetem, Matematika és Informatika Kar</t>
  </si>
  <si>
    <t>Csapó Hajnalka</t>
  </si>
  <si>
    <t>Ügyvezető elnök</t>
  </si>
  <si>
    <t>Tanfelügyelő, Hargita megye tanfelügyelősége</t>
  </si>
  <si>
    <t>dr. Lukács Andor</t>
  </si>
  <si>
    <t>Alelnök</t>
  </si>
  <si>
    <t>dr. Szilágyi Zsolt</t>
  </si>
  <si>
    <t>Szilagyi Judit</t>
  </si>
  <si>
    <t>Szaktitkár</t>
  </si>
  <si>
    <t>Polgár István</t>
  </si>
  <si>
    <t>Titkár</t>
  </si>
  <si>
    <t>Csíki Zoltán</t>
  </si>
  <si>
    <t>Czeglédi Csilla-Ilona</t>
  </si>
  <si>
    <t>Tag</t>
  </si>
  <si>
    <t>Csiky Gergely Főgimnázium, Arad</t>
  </si>
  <si>
    <t>Hasas Tünde</t>
  </si>
  <si>
    <t>Vasile Voiculescu Egészségügyi Középiskola, Nagyvárad</t>
  </si>
  <si>
    <t>Hodgyai Edit</t>
  </si>
  <si>
    <t>Pálhegyi Farkas László</t>
  </si>
  <si>
    <t>Mihai Eminescu Főgimnázium, Nagyvárad</t>
  </si>
  <si>
    <t>Fodor Erika</t>
  </si>
  <si>
    <t>Andrei Mureşanu Főgimnázium, Beszterce</t>
  </si>
  <si>
    <t>Papp Ilonka</t>
  </si>
  <si>
    <t>Brasó</t>
  </si>
  <si>
    <t>Németi Mónika</t>
  </si>
  <si>
    <t>Sigismund Toduță Zeneakadémia, Kolozsvár</t>
  </si>
  <si>
    <t>Máthé Attila-István</t>
  </si>
  <si>
    <t>Mikes Kelemen Elméleti Líceum , Sepsiszentgyörgy</t>
  </si>
  <si>
    <t>Mátyás Mátyás</t>
  </si>
  <si>
    <t>Ugron Szabolcs</t>
  </si>
  <si>
    <t>Dávid Géza</t>
  </si>
  <si>
    <t>Bedő-Gergely Anna</t>
  </si>
  <si>
    <t>Bányai János Műszaki Szakközépiskola, Székelyudvarhely</t>
  </si>
  <si>
    <t>Köncse Balázs</t>
  </si>
  <si>
    <t>Miklós Dóra</t>
  </si>
  <si>
    <t>Gábor Áron Szakközépiskola, Szentegyháza</t>
  </si>
  <si>
    <t>Kocsis Attila-Levente</t>
  </si>
  <si>
    <t>Téglás Gábor Elméleti Líceum, Déva</t>
  </si>
  <si>
    <t>Mátéfi István</t>
  </si>
  <si>
    <t>Bolyai Farkas Elméleti Líceum, Marosvásárhely</t>
  </si>
  <si>
    <t>Hamar Erzsébet</t>
  </si>
  <si>
    <t>George Cosbuc Általános Iskola, Marosvásárhely</t>
  </si>
  <si>
    <t>Tóth Csongor József</t>
  </si>
  <si>
    <t>Domokos Kázmér Óvoda, Gimnázium és Szakközépiskola, Szováta</t>
  </si>
  <si>
    <t>Faluvégi Melánia</t>
  </si>
  <si>
    <t>Gáspár Edit</t>
  </si>
  <si>
    <t>Forgács István</t>
  </si>
  <si>
    <t>Kölcsey Ferenc Főgimnázium, Szatmárnémeti</t>
  </si>
  <si>
    <t>Kiss Sándor</t>
  </si>
  <si>
    <t>Mircea Eliade Általános Iskola, Szatmárnémeti</t>
  </si>
  <si>
    <t>Cziprok András</t>
  </si>
  <si>
    <t>Mastan Eliza</t>
  </si>
  <si>
    <t>Tőtős György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</si>
</sst>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333333"/>
      <name val="Consolas"/>
      <family val="3"/>
    </font>
    <font>
      <sz val="12"/>
      <color rgb="FF333333"/>
      <name val="Consolas"/>
      <family val="3"/>
    </font>
    <font>
      <sz val="12"/>
      <color theme="1"/>
      <name val="Consolas"/>
      <family val="3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indent="2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indent="2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79"/>
      <color rgb="FF8904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27C0-B685-4F2A-A88D-C88C9C082B46}">
  <dimension ref="A1:F31"/>
  <sheetViews>
    <sheetView zoomScaleNormal="100" workbookViewId="0">
      <selection activeCell="A36" sqref="A36"/>
    </sheetView>
  </sheetViews>
  <sheetFormatPr defaultRowHeight="15" x14ac:dyDescent="0.25"/>
  <cols>
    <col min="1" max="1" width="34.28515625" customWidth="1"/>
    <col min="2" max="2" width="63" customWidth="1"/>
    <col min="3" max="3" width="40" customWidth="1"/>
    <col min="5" max="5" width="22.28515625" customWidth="1"/>
    <col min="6" max="6" width="13.85546875" customWidth="1"/>
  </cols>
  <sheetData>
    <row r="1" spans="1:6" ht="15.75" x14ac:dyDescent="0.25">
      <c r="A1" s="3" t="s">
        <v>38</v>
      </c>
      <c r="B1" s="3" t="s">
        <v>39</v>
      </c>
      <c r="C1" s="3" t="s">
        <v>40</v>
      </c>
      <c r="E1" s="7"/>
      <c r="F1" s="8" t="s">
        <v>258</v>
      </c>
    </row>
    <row r="2" spans="1:6" ht="15.75" x14ac:dyDescent="0.25">
      <c r="A2" s="4" t="s">
        <v>41</v>
      </c>
      <c r="B2" s="4" t="s">
        <v>1</v>
      </c>
      <c r="C2" s="4" t="s">
        <v>2</v>
      </c>
      <c r="E2" s="5" t="s">
        <v>2</v>
      </c>
      <c r="F2" s="2">
        <v>1</v>
      </c>
    </row>
    <row r="3" spans="1:6" ht="15.75" x14ac:dyDescent="0.25">
      <c r="A3" s="4" t="s">
        <v>42</v>
      </c>
      <c r="B3" s="4" t="s">
        <v>43</v>
      </c>
      <c r="C3" s="4" t="s">
        <v>5</v>
      </c>
      <c r="E3" s="7" t="s">
        <v>136</v>
      </c>
      <c r="F3" s="2">
        <v>0</v>
      </c>
    </row>
    <row r="4" spans="1:6" ht="15.75" x14ac:dyDescent="0.25">
      <c r="A4" s="4" t="s">
        <v>44</v>
      </c>
      <c r="B4" s="4" t="s">
        <v>8</v>
      </c>
      <c r="C4" s="4" t="s">
        <v>9</v>
      </c>
      <c r="E4" s="7" t="s">
        <v>5</v>
      </c>
      <c r="F4" s="2">
        <v>1</v>
      </c>
    </row>
    <row r="5" spans="1:6" ht="15.75" x14ac:dyDescent="0.25">
      <c r="A5" s="4" t="s">
        <v>45</v>
      </c>
      <c r="B5" s="4" t="s">
        <v>11</v>
      </c>
      <c r="C5" s="4" t="s">
        <v>12</v>
      </c>
      <c r="E5" s="7" t="s">
        <v>9</v>
      </c>
      <c r="F5" s="2">
        <v>1</v>
      </c>
    </row>
    <row r="6" spans="1:6" ht="15.75" x14ac:dyDescent="0.25">
      <c r="A6" s="4" t="s">
        <v>46</v>
      </c>
      <c r="B6" s="4" t="s">
        <v>16</v>
      </c>
      <c r="C6" s="4" t="s">
        <v>12</v>
      </c>
      <c r="E6" s="7" t="s">
        <v>234</v>
      </c>
      <c r="F6" s="2">
        <v>0</v>
      </c>
    </row>
    <row r="7" spans="1:6" ht="15.75" x14ac:dyDescent="0.25">
      <c r="A7" s="4" t="s">
        <v>47</v>
      </c>
      <c r="B7" s="4" t="s">
        <v>48</v>
      </c>
      <c r="C7" s="4" t="s">
        <v>12</v>
      </c>
      <c r="E7" s="7" t="s">
        <v>26</v>
      </c>
      <c r="F7" s="2">
        <v>12</v>
      </c>
    </row>
    <row r="8" spans="1:6" ht="15.75" x14ac:dyDescent="0.25">
      <c r="A8" s="4" t="s">
        <v>49</v>
      </c>
      <c r="B8" s="4" t="s">
        <v>16</v>
      </c>
      <c r="C8" s="4" t="s">
        <v>12</v>
      </c>
      <c r="E8" s="7" t="s">
        <v>103</v>
      </c>
      <c r="F8" s="2">
        <v>0</v>
      </c>
    </row>
    <row r="9" spans="1:6" ht="15.75" x14ac:dyDescent="0.25">
      <c r="A9" s="4" t="s">
        <v>50</v>
      </c>
      <c r="B9" s="4" t="s">
        <v>21</v>
      </c>
      <c r="C9" s="4" t="s">
        <v>19</v>
      </c>
      <c r="E9" s="7" t="s">
        <v>12</v>
      </c>
      <c r="F9" s="2">
        <v>4</v>
      </c>
    </row>
    <row r="10" spans="1:6" ht="15.75" x14ac:dyDescent="0.25">
      <c r="A10" s="4" t="s">
        <v>51</v>
      </c>
      <c r="B10" s="4" t="s">
        <v>21</v>
      </c>
      <c r="C10" s="4" t="s">
        <v>19</v>
      </c>
      <c r="E10" s="7" t="s">
        <v>19</v>
      </c>
      <c r="F10" s="2">
        <v>2</v>
      </c>
    </row>
    <row r="11" spans="1:6" ht="15.75" x14ac:dyDescent="0.25">
      <c r="A11" s="4" t="s">
        <v>52</v>
      </c>
      <c r="B11" s="4" t="s">
        <v>53</v>
      </c>
      <c r="C11" s="4" t="s">
        <v>26</v>
      </c>
      <c r="E11" s="7" t="s">
        <v>74</v>
      </c>
      <c r="F11" s="2">
        <v>1</v>
      </c>
    </row>
    <row r="12" spans="1:6" ht="15.75" x14ac:dyDescent="0.25">
      <c r="A12" s="4" t="s">
        <v>54</v>
      </c>
      <c r="B12" s="4" t="s">
        <v>55</v>
      </c>
      <c r="C12" s="4" t="s">
        <v>26</v>
      </c>
      <c r="E12" s="7" t="s">
        <v>31</v>
      </c>
      <c r="F12" s="2">
        <v>6</v>
      </c>
    </row>
    <row r="13" spans="1:6" ht="15.75" x14ac:dyDescent="0.25">
      <c r="A13" s="4" t="s">
        <v>56</v>
      </c>
      <c r="B13" s="4" t="s">
        <v>28</v>
      </c>
      <c r="C13" s="4" t="s">
        <v>26</v>
      </c>
      <c r="E13" s="7" t="s">
        <v>34</v>
      </c>
      <c r="F13" s="2">
        <v>0</v>
      </c>
    </row>
    <row r="14" spans="1:6" ht="15.75" x14ac:dyDescent="0.25">
      <c r="A14" s="4" t="s">
        <v>57</v>
      </c>
      <c r="B14" s="4" t="s">
        <v>58</v>
      </c>
      <c r="C14" s="4" t="s">
        <v>26</v>
      </c>
      <c r="E14" s="12" t="s">
        <v>86</v>
      </c>
      <c r="F14" s="13">
        <v>1</v>
      </c>
    </row>
    <row r="15" spans="1:6" ht="15.75" x14ac:dyDescent="0.25">
      <c r="A15" s="4" t="s">
        <v>59</v>
      </c>
      <c r="B15" s="4" t="s">
        <v>60</v>
      </c>
      <c r="C15" s="4" t="s">
        <v>26</v>
      </c>
      <c r="E15" s="7" t="s">
        <v>89</v>
      </c>
      <c r="F15" s="2">
        <v>1</v>
      </c>
    </row>
    <row r="16" spans="1:6" ht="15.75" x14ac:dyDescent="0.25">
      <c r="A16" s="4" t="s">
        <v>61</v>
      </c>
      <c r="B16" s="4" t="s">
        <v>55</v>
      </c>
      <c r="C16" s="4" t="s">
        <v>26</v>
      </c>
      <c r="E16" s="7" t="s">
        <v>37</v>
      </c>
      <c r="F16" s="2">
        <v>0</v>
      </c>
    </row>
    <row r="17" spans="1:3" ht="15.75" x14ac:dyDescent="0.25">
      <c r="A17" s="4" t="s">
        <v>62</v>
      </c>
      <c r="B17" s="4" t="s">
        <v>58</v>
      </c>
      <c r="C17" s="4" t="s">
        <v>26</v>
      </c>
    </row>
    <row r="18" spans="1:3" ht="15.75" x14ac:dyDescent="0.25">
      <c r="A18" s="4" t="s">
        <v>63</v>
      </c>
      <c r="B18" s="4" t="s">
        <v>55</v>
      </c>
      <c r="C18" s="4" t="s">
        <v>26</v>
      </c>
    </row>
    <row r="19" spans="1:3" ht="15.75" x14ac:dyDescent="0.25">
      <c r="A19" s="4" t="s">
        <v>64</v>
      </c>
      <c r="B19" s="4" t="s">
        <v>65</v>
      </c>
      <c r="C19" s="4" t="s">
        <v>26</v>
      </c>
    </row>
    <row r="20" spans="1:3" ht="15.75" x14ac:dyDescent="0.25">
      <c r="A20" s="4" t="s">
        <v>66</v>
      </c>
      <c r="B20" s="4" t="s">
        <v>67</v>
      </c>
      <c r="C20" s="4" t="s">
        <v>26</v>
      </c>
    </row>
    <row r="21" spans="1:3" ht="15.75" x14ac:dyDescent="0.25">
      <c r="A21" s="4" t="s">
        <v>68</v>
      </c>
      <c r="B21" s="4" t="s">
        <v>69</v>
      </c>
      <c r="C21" s="4" t="s">
        <v>26</v>
      </c>
    </row>
    <row r="22" spans="1:3" ht="15.75" x14ac:dyDescent="0.25">
      <c r="A22" s="4" t="s">
        <v>70</v>
      </c>
      <c r="B22" s="4" t="s">
        <v>71</v>
      </c>
      <c r="C22" s="4" t="s">
        <v>26</v>
      </c>
    </row>
    <row r="23" spans="1:3" ht="15.75" x14ac:dyDescent="0.25">
      <c r="A23" s="4" t="s">
        <v>72</v>
      </c>
      <c r="B23" s="4" t="s">
        <v>73</v>
      </c>
      <c r="C23" s="4" t="s">
        <v>74</v>
      </c>
    </row>
    <row r="24" spans="1:3" ht="15.75" x14ac:dyDescent="0.25">
      <c r="A24" s="4" t="s">
        <v>75</v>
      </c>
      <c r="B24" s="4" t="s">
        <v>30</v>
      </c>
      <c r="C24" s="4" t="s">
        <v>31</v>
      </c>
    </row>
    <row r="25" spans="1:3" ht="15.75" x14ac:dyDescent="0.25">
      <c r="A25" s="4" t="s">
        <v>76</v>
      </c>
      <c r="B25" s="4" t="s">
        <v>77</v>
      </c>
      <c r="C25" s="4" t="s">
        <v>31</v>
      </c>
    </row>
    <row r="26" spans="1:3" ht="15.75" x14ac:dyDescent="0.25">
      <c r="A26" s="4" t="s">
        <v>78</v>
      </c>
      <c r="B26" s="4" t="s">
        <v>79</v>
      </c>
      <c r="C26" s="4" t="s">
        <v>31</v>
      </c>
    </row>
    <row r="27" spans="1:3" ht="15.75" x14ac:dyDescent="0.25">
      <c r="A27" s="4" t="s">
        <v>80</v>
      </c>
      <c r="B27" s="4" t="s">
        <v>77</v>
      </c>
      <c r="C27" s="4" t="s">
        <v>31</v>
      </c>
    </row>
    <row r="28" spans="1:3" ht="15.75" x14ac:dyDescent="0.25">
      <c r="A28" s="4" t="s">
        <v>81</v>
      </c>
      <c r="B28" s="4" t="s">
        <v>77</v>
      </c>
      <c r="C28" s="4" t="s">
        <v>31</v>
      </c>
    </row>
    <row r="29" spans="1:3" ht="15.75" x14ac:dyDescent="0.25">
      <c r="A29" s="4" t="s">
        <v>82</v>
      </c>
      <c r="B29" s="4" t="s">
        <v>83</v>
      </c>
      <c r="C29" s="4" t="s">
        <v>31</v>
      </c>
    </row>
    <row r="30" spans="1:3" ht="15.75" x14ac:dyDescent="0.25">
      <c r="A30" s="4" t="s">
        <v>84</v>
      </c>
      <c r="B30" s="4" t="s">
        <v>85</v>
      </c>
      <c r="C30" s="4" t="s">
        <v>86</v>
      </c>
    </row>
    <row r="31" spans="1:3" ht="15.75" x14ac:dyDescent="0.25">
      <c r="A31" s="4" t="s">
        <v>87</v>
      </c>
      <c r="B31" s="4" t="s">
        <v>88</v>
      </c>
      <c r="C31" s="4" t="s">
        <v>89</v>
      </c>
    </row>
  </sheetData>
  <sortState xmlns:xlrd2="http://schemas.microsoft.com/office/spreadsheetml/2017/richdata2" ref="E3:F16">
    <sortCondition ref="E3:E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7CF7-40C5-4C30-85E2-7FAA9368CA25}">
  <dimension ref="A1:F27"/>
  <sheetViews>
    <sheetView zoomScaleNormal="100" workbookViewId="0">
      <selection activeCell="F6" sqref="F6"/>
    </sheetView>
  </sheetViews>
  <sheetFormatPr defaultRowHeight="15" x14ac:dyDescent="0.25"/>
  <cols>
    <col min="1" max="1" width="34.28515625" customWidth="1"/>
    <col min="2" max="2" width="63" customWidth="1"/>
    <col min="3" max="3" width="40" customWidth="1"/>
    <col min="4" max="4" width="5.28515625" customWidth="1"/>
    <col min="5" max="5" width="24.5703125" customWidth="1"/>
    <col min="6" max="6" width="12" customWidth="1"/>
  </cols>
  <sheetData>
    <row r="1" spans="1:6" ht="15.75" x14ac:dyDescent="0.25">
      <c r="A1" s="3" t="s">
        <v>38</v>
      </c>
      <c r="B1" s="3" t="s">
        <v>39</v>
      </c>
      <c r="C1" s="3" t="s">
        <v>40</v>
      </c>
      <c r="E1" s="7"/>
      <c r="F1" s="8" t="s">
        <v>258</v>
      </c>
    </row>
    <row r="2" spans="1:6" ht="15.75" x14ac:dyDescent="0.25">
      <c r="A2" s="1" t="s">
        <v>90</v>
      </c>
      <c r="B2" s="1" t="s">
        <v>91</v>
      </c>
      <c r="C2" s="1" t="s">
        <v>5</v>
      </c>
      <c r="E2" s="5" t="s">
        <v>2</v>
      </c>
      <c r="F2" s="2">
        <v>0</v>
      </c>
    </row>
    <row r="3" spans="1:6" ht="15.75" x14ac:dyDescent="0.25">
      <c r="A3" s="1" t="s">
        <v>92</v>
      </c>
      <c r="B3" s="1" t="s">
        <v>93</v>
      </c>
      <c r="C3" s="1" t="s">
        <v>9</v>
      </c>
      <c r="E3" s="7" t="s">
        <v>136</v>
      </c>
      <c r="F3" s="2">
        <v>0</v>
      </c>
    </row>
    <row r="4" spans="1:6" ht="15.75" x14ac:dyDescent="0.25">
      <c r="A4" s="1" t="s">
        <v>94</v>
      </c>
      <c r="B4" s="1" t="s">
        <v>11</v>
      </c>
      <c r="C4" s="1" t="s">
        <v>12</v>
      </c>
      <c r="E4" s="7" t="s">
        <v>5</v>
      </c>
      <c r="F4" s="2">
        <v>1</v>
      </c>
    </row>
    <row r="5" spans="1:6" ht="15.75" x14ac:dyDescent="0.25">
      <c r="A5" s="1" t="s">
        <v>95</v>
      </c>
      <c r="B5" s="1" t="s">
        <v>16</v>
      </c>
      <c r="C5" s="1" t="s">
        <v>12</v>
      </c>
      <c r="E5" s="7" t="s">
        <v>9</v>
      </c>
      <c r="F5" s="2">
        <v>1</v>
      </c>
    </row>
    <row r="6" spans="1:6" ht="15.75" x14ac:dyDescent="0.25">
      <c r="A6" s="1" t="s">
        <v>96</v>
      </c>
      <c r="B6" s="1" t="s">
        <v>11</v>
      </c>
      <c r="C6" s="1" t="s">
        <v>12</v>
      </c>
      <c r="E6" s="7" t="s">
        <v>234</v>
      </c>
      <c r="F6" s="2">
        <v>0</v>
      </c>
    </row>
    <row r="7" spans="1:6" ht="15.75" x14ac:dyDescent="0.25">
      <c r="A7" s="1" t="s">
        <v>97</v>
      </c>
      <c r="B7" s="1" t="s">
        <v>16</v>
      </c>
      <c r="C7" s="1" t="s">
        <v>12</v>
      </c>
      <c r="E7" s="7" t="s">
        <v>26</v>
      </c>
      <c r="F7" s="2">
        <v>5</v>
      </c>
    </row>
    <row r="8" spans="1:6" ht="15.75" x14ac:dyDescent="0.25">
      <c r="A8" s="1" t="s">
        <v>98</v>
      </c>
      <c r="B8" s="1" t="s">
        <v>21</v>
      </c>
      <c r="C8" s="1" t="s">
        <v>19</v>
      </c>
      <c r="E8" s="7" t="s">
        <v>103</v>
      </c>
      <c r="F8" s="2">
        <v>1</v>
      </c>
    </row>
    <row r="9" spans="1:6" ht="15.75" x14ac:dyDescent="0.25">
      <c r="A9" s="1" t="s">
        <v>99</v>
      </c>
      <c r="B9" s="1" t="s">
        <v>21</v>
      </c>
      <c r="C9" s="1" t="s">
        <v>19</v>
      </c>
      <c r="E9" s="7" t="s">
        <v>12</v>
      </c>
      <c r="F9" s="2">
        <v>4</v>
      </c>
    </row>
    <row r="10" spans="1:6" ht="15.75" x14ac:dyDescent="0.25">
      <c r="A10" s="1" t="s">
        <v>100</v>
      </c>
      <c r="B10" s="1" t="s">
        <v>21</v>
      </c>
      <c r="C10" s="1" t="s">
        <v>19</v>
      </c>
      <c r="E10" s="7" t="s">
        <v>19</v>
      </c>
      <c r="F10" s="2">
        <v>3</v>
      </c>
    </row>
    <row r="11" spans="1:6" ht="15.75" x14ac:dyDescent="0.25">
      <c r="A11" s="1" t="s">
        <v>101</v>
      </c>
      <c r="B11" s="1" t="s">
        <v>102</v>
      </c>
      <c r="C11" s="1" t="s">
        <v>103</v>
      </c>
      <c r="E11" s="7" t="s">
        <v>74</v>
      </c>
      <c r="F11" s="2">
        <v>1</v>
      </c>
    </row>
    <row r="12" spans="1:6" ht="15.75" x14ac:dyDescent="0.25">
      <c r="A12" s="1" t="s">
        <v>104</v>
      </c>
      <c r="B12" s="1" t="s">
        <v>55</v>
      </c>
      <c r="C12" s="1" t="s">
        <v>26</v>
      </c>
      <c r="E12" s="7" t="s">
        <v>31</v>
      </c>
      <c r="F12" s="2">
        <v>4</v>
      </c>
    </row>
    <row r="13" spans="1:6" ht="15.75" x14ac:dyDescent="0.25">
      <c r="A13" s="1" t="s">
        <v>105</v>
      </c>
      <c r="B13" s="1" t="s">
        <v>106</v>
      </c>
      <c r="C13" s="1" t="s">
        <v>26</v>
      </c>
      <c r="E13" s="7" t="s">
        <v>34</v>
      </c>
      <c r="F13" s="2">
        <v>2</v>
      </c>
    </row>
    <row r="14" spans="1:6" ht="15.75" x14ac:dyDescent="0.25">
      <c r="A14" s="1" t="s">
        <v>107</v>
      </c>
      <c r="B14" s="1" t="s">
        <v>108</v>
      </c>
      <c r="C14" s="1" t="s">
        <v>26</v>
      </c>
      <c r="E14" s="12" t="s">
        <v>289</v>
      </c>
      <c r="F14" s="13">
        <v>0</v>
      </c>
    </row>
    <row r="15" spans="1:6" ht="15.75" x14ac:dyDescent="0.25">
      <c r="A15" s="1" t="s">
        <v>109</v>
      </c>
      <c r="B15" s="1" t="s">
        <v>71</v>
      </c>
      <c r="C15" s="1" t="s">
        <v>26</v>
      </c>
      <c r="E15" s="7" t="s">
        <v>89</v>
      </c>
      <c r="F15" s="2">
        <v>2</v>
      </c>
    </row>
    <row r="16" spans="1:6" ht="15.75" x14ac:dyDescent="0.25">
      <c r="A16" s="1" t="s">
        <v>110</v>
      </c>
      <c r="B16" s="1" t="s">
        <v>111</v>
      </c>
      <c r="C16" s="1" t="s">
        <v>26</v>
      </c>
      <c r="E16" s="7" t="s">
        <v>37</v>
      </c>
      <c r="F16" s="2">
        <v>2</v>
      </c>
    </row>
    <row r="17" spans="1:3" x14ac:dyDescent="0.25">
      <c r="A17" s="1" t="s">
        <v>112</v>
      </c>
      <c r="B17" s="1" t="s">
        <v>113</v>
      </c>
      <c r="C17" s="1" t="s">
        <v>74</v>
      </c>
    </row>
    <row r="18" spans="1:3" x14ac:dyDescent="0.25">
      <c r="A18" s="1" t="s">
        <v>114</v>
      </c>
      <c r="B18" s="1" t="s">
        <v>115</v>
      </c>
      <c r="C18" s="1" t="s">
        <v>31</v>
      </c>
    </row>
    <row r="19" spans="1:3" x14ac:dyDescent="0.25">
      <c r="A19" s="1" t="s">
        <v>116</v>
      </c>
      <c r="B19" s="1" t="s">
        <v>30</v>
      </c>
      <c r="C19" s="1" t="s">
        <v>31</v>
      </c>
    </row>
    <row r="20" spans="1:3" x14ac:dyDescent="0.25">
      <c r="A20" s="1" t="s">
        <v>117</v>
      </c>
      <c r="B20" s="1" t="s">
        <v>118</v>
      </c>
      <c r="C20" s="1" t="s">
        <v>31</v>
      </c>
    </row>
    <row r="21" spans="1:3" x14ac:dyDescent="0.25">
      <c r="A21" s="1" t="s">
        <v>119</v>
      </c>
      <c r="B21" s="1" t="s">
        <v>120</v>
      </c>
      <c r="C21" s="1" t="s">
        <v>31</v>
      </c>
    </row>
    <row r="22" spans="1:3" x14ac:dyDescent="0.25">
      <c r="A22" s="1" t="s">
        <v>121</v>
      </c>
      <c r="B22" s="1" t="s">
        <v>122</v>
      </c>
      <c r="C22" s="1" t="s">
        <v>89</v>
      </c>
    </row>
    <row r="23" spans="1:3" x14ac:dyDescent="0.25">
      <c r="A23" s="1" t="s">
        <v>123</v>
      </c>
      <c r="B23" s="1" t="s">
        <v>122</v>
      </c>
      <c r="C23" s="1" t="s">
        <v>89</v>
      </c>
    </row>
    <row r="24" spans="1:3" x14ac:dyDescent="0.25">
      <c r="A24" s="1" t="s">
        <v>124</v>
      </c>
      <c r="B24" s="1" t="s">
        <v>125</v>
      </c>
      <c r="C24" s="1" t="s">
        <v>34</v>
      </c>
    </row>
    <row r="25" spans="1:3" x14ac:dyDescent="0.25">
      <c r="A25" s="1" t="s">
        <v>126</v>
      </c>
      <c r="B25" s="1" t="s">
        <v>125</v>
      </c>
      <c r="C25" s="1" t="s">
        <v>34</v>
      </c>
    </row>
    <row r="26" spans="1:3" x14ac:dyDescent="0.25">
      <c r="A26" s="1" t="s">
        <v>127</v>
      </c>
      <c r="B26" s="1" t="s">
        <v>36</v>
      </c>
      <c r="C26" s="1" t="s">
        <v>37</v>
      </c>
    </row>
    <row r="27" spans="1:3" x14ac:dyDescent="0.25">
      <c r="A27" s="1" t="s">
        <v>128</v>
      </c>
      <c r="B27" s="1" t="s">
        <v>36</v>
      </c>
      <c r="C27" s="1" t="s">
        <v>37</v>
      </c>
    </row>
  </sheetData>
  <sortState xmlns:xlrd2="http://schemas.microsoft.com/office/spreadsheetml/2017/richdata2" ref="E3:F16">
    <sortCondition ref="E3:E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09ED-1DA4-45CF-915E-D407EAB11099}">
  <dimension ref="A1:F31"/>
  <sheetViews>
    <sheetView zoomScaleNormal="100" workbookViewId="0">
      <selection activeCell="F16" sqref="E2:F16"/>
    </sheetView>
  </sheetViews>
  <sheetFormatPr defaultRowHeight="15" x14ac:dyDescent="0.25"/>
  <cols>
    <col min="1" max="1" width="34.28515625" customWidth="1"/>
    <col min="2" max="2" width="63" customWidth="1"/>
    <col min="3" max="3" width="40" customWidth="1"/>
    <col min="5" max="5" width="22.42578125" customWidth="1"/>
    <col min="6" max="6" width="13.140625" customWidth="1"/>
  </cols>
  <sheetData>
    <row r="1" spans="1:6" ht="15.75" x14ac:dyDescent="0.25">
      <c r="A1" s="3" t="s">
        <v>38</v>
      </c>
      <c r="B1" s="3" t="s">
        <v>39</v>
      </c>
      <c r="C1" s="3" t="s">
        <v>40</v>
      </c>
      <c r="E1" s="7"/>
      <c r="F1" s="8" t="s">
        <v>258</v>
      </c>
    </row>
    <row r="2" spans="1:6" ht="15.75" x14ac:dyDescent="0.25">
      <c r="A2" s="1" t="s">
        <v>129</v>
      </c>
      <c r="B2" s="1" t="s">
        <v>1</v>
      </c>
      <c r="C2" s="1" t="s">
        <v>2</v>
      </c>
      <c r="E2" s="5" t="s">
        <v>2</v>
      </c>
      <c r="F2" s="2">
        <v>1</v>
      </c>
    </row>
    <row r="3" spans="1:6" ht="15.75" x14ac:dyDescent="0.25">
      <c r="A3" s="1" t="s">
        <v>130</v>
      </c>
      <c r="B3" s="1" t="s">
        <v>131</v>
      </c>
      <c r="C3" s="1" t="s">
        <v>5</v>
      </c>
      <c r="E3" s="7" t="s">
        <v>136</v>
      </c>
      <c r="F3" s="2">
        <v>1</v>
      </c>
    </row>
    <row r="4" spans="1:6" ht="15.75" x14ac:dyDescent="0.25">
      <c r="A4" s="1" t="s">
        <v>132</v>
      </c>
      <c r="B4" s="1" t="s">
        <v>4</v>
      </c>
      <c r="C4" s="1" t="s">
        <v>5</v>
      </c>
      <c r="E4" s="7" t="s">
        <v>5</v>
      </c>
      <c r="F4" s="2">
        <v>3</v>
      </c>
    </row>
    <row r="5" spans="1:6" ht="15.75" x14ac:dyDescent="0.25">
      <c r="A5" s="1" t="s">
        <v>133</v>
      </c>
      <c r="B5" s="1" t="s">
        <v>131</v>
      </c>
      <c r="C5" s="1" t="s">
        <v>5</v>
      </c>
      <c r="E5" s="7" t="s">
        <v>9</v>
      </c>
      <c r="F5" s="2">
        <v>1</v>
      </c>
    </row>
    <row r="6" spans="1:6" ht="15.75" x14ac:dyDescent="0.25">
      <c r="A6" s="1" t="s">
        <v>134</v>
      </c>
      <c r="B6" s="1" t="s">
        <v>135</v>
      </c>
      <c r="C6" s="1" t="s">
        <v>136</v>
      </c>
      <c r="E6" s="7" t="s">
        <v>234</v>
      </c>
      <c r="F6" s="2">
        <v>0</v>
      </c>
    </row>
    <row r="7" spans="1:6" ht="15.75" x14ac:dyDescent="0.25">
      <c r="A7" s="1" t="s">
        <v>137</v>
      </c>
      <c r="B7" s="1" t="s">
        <v>138</v>
      </c>
      <c r="C7" s="1" t="s">
        <v>9</v>
      </c>
      <c r="E7" s="7" t="s">
        <v>26</v>
      </c>
      <c r="F7" s="2">
        <v>10</v>
      </c>
    </row>
    <row r="8" spans="1:6" ht="15.75" x14ac:dyDescent="0.25">
      <c r="A8" s="1" t="s">
        <v>139</v>
      </c>
      <c r="B8" s="1" t="s">
        <v>16</v>
      </c>
      <c r="C8" s="1" t="s">
        <v>12</v>
      </c>
      <c r="E8" s="7" t="s">
        <v>103</v>
      </c>
      <c r="F8" s="2">
        <v>0</v>
      </c>
    </row>
    <row r="9" spans="1:6" ht="15.75" x14ac:dyDescent="0.25">
      <c r="A9" s="1" t="s">
        <v>140</v>
      </c>
      <c r="B9" s="1" t="s">
        <v>21</v>
      </c>
      <c r="C9" s="1" t="s">
        <v>19</v>
      </c>
      <c r="E9" s="7" t="s">
        <v>12</v>
      </c>
      <c r="F9" s="2">
        <v>1</v>
      </c>
    </row>
    <row r="10" spans="1:6" ht="15.75" x14ac:dyDescent="0.25">
      <c r="A10" s="1" t="s">
        <v>141</v>
      </c>
      <c r="B10" s="1" t="s">
        <v>142</v>
      </c>
      <c r="C10" s="1" t="s">
        <v>19</v>
      </c>
      <c r="E10" s="7" t="s">
        <v>19</v>
      </c>
      <c r="F10" s="2">
        <v>3</v>
      </c>
    </row>
    <row r="11" spans="1:6" ht="15.75" x14ac:dyDescent="0.25">
      <c r="A11" s="1" t="s">
        <v>143</v>
      </c>
      <c r="B11" s="1" t="s">
        <v>21</v>
      </c>
      <c r="C11" s="1" t="s">
        <v>19</v>
      </c>
      <c r="E11" s="7" t="s">
        <v>74</v>
      </c>
      <c r="F11" s="2">
        <v>1</v>
      </c>
    </row>
    <row r="12" spans="1:6" ht="15.75" x14ac:dyDescent="0.25">
      <c r="A12" s="1" t="s">
        <v>144</v>
      </c>
      <c r="B12" s="1" t="s">
        <v>58</v>
      </c>
      <c r="C12" s="1" t="s">
        <v>26</v>
      </c>
      <c r="E12" s="7" t="s">
        <v>31</v>
      </c>
      <c r="F12" s="2">
        <v>6</v>
      </c>
    </row>
    <row r="13" spans="1:6" ht="15.75" x14ac:dyDescent="0.25">
      <c r="A13" s="1" t="s">
        <v>145</v>
      </c>
      <c r="B13" s="1" t="s">
        <v>146</v>
      </c>
      <c r="C13" s="1" t="s">
        <v>26</v>
      </c>
      <c r="E13" s="7" t="s">
        <v>34</v>
      </c>
      <c r="F13" s="2">
        <v>1</v>
      </c>
    </row>
    <row r="14" spans="1:6" ht="15.75" x14ac:dyDescent="0.25">
      <c r="A14" s="1" t="s">
        <v>147</v>
      </c>
      <c r="B14" s="1" t="s">
        <v>148</v>
      </c>
      <c r="C14" s="1" t="s">
        <v>26</v>
      </c>
      <c r="E14" s="12" t="s">
        <v>289</v>
      </c>
      <c r="F14" s="13">
        <v>0</v>
      </c>
    </row>
    <row r="15" spans="1:6" ht="15.75" x14ac:dyDescent="0.25">
      <c r="A15" s="1" t="s">
        <v>149</v>
      </c>
      <c r="B15" s="1" t="s">
        <v>55</v>
      </c>
      <c r="C15" s="1" t="s">
        <v>26</v>
      </c>
      <c r="E15" s="7" t="s">
        <v>89</v>
      </c>
      <c r="F15" s="2">
        <v>1</v>
      </c>
    </row>
    <row r="16" spans="1:6" ht="15.75" x14ac:dyDescent="0.25">
      <c r="A16" s="1" t="s">
        <v>150</v>
      </c>
      <c r="B16" s="1" t="s">
        <v>58</v>
      </c>
      <c r="C16" s="1" t="s">
        <v>26</v>
      </c>
      <c r="E16" s="7" t="s">
        <v>37</v>
      </c>
      <c r="F16" s="2">
        <v>1</v>
      </c>
    </row>
    <row r="17" spans="1:3" x14ac:dyDescent="0.25">
      <c r="A17" s="1" t="s">
        <v>151</v>
      </c>
      <c r="B17" s="1" t="s">
        <v>148</v>
      </c>
      <c r="C17" s="1" t="s">
        <v>26</v>
      </c>
    </row>
    <row r="18" spans="1:3" x14ac:dyDescent="0.25">
      <c r="A18" s="1" t="s">
        <v>152</v>
      </c>
      <c r="B18" s="1" t="s">
        <v>58</v>
      </c>
      <c r="C18" s="1" t="s">
        <v>26</v>
      </c>
    </row>
    <row r="19" spans="1:3" x14ac:dyDescent="0.25">
      <c r="A19" s="1" t="s">
        <v>153</v>
      </c>
      <c r="B19" s="1" t="s">
        <v>58</v>
      </c>
      <c r="C19" s="1" t="s">
        <v>26</v>
      </c>
    </row>
    <row r="20" spans="1:3" x14ac:dyDescent="0.25">
      <c r="A20" s="1" t="s">
        <v>154</v>
      </c>
      <c r="B20" s="1" t="s">
        <v>55</v>
      </c>
      <c r="C20" s="1" t="s">
        <v>26</v>
      </c>
    </row>
    <row r="21" spans="1:3" x14ac:dyDescent="0.25">
      <c r="A21" s="1" t="s">
        <v>155</v>
      </c>
      <c r="B21" s="1" t="s">
        <v>55</v>
      </c>
      <c r="C21" s="1" t="s">
        <v>26</v>
      </c>
    </row>
    <row r="22" spans="1:3" x14ac:dyDescent="0.25">
      <c r="A22" s="1" t="s">
        <v>156</v>
      </c>
      <c r="B22" s="1" t="s">
        <v>73</v>
      </c>
      <c r="C22" s="1" t="s">
        <v>74</v>
      </c>
    </row>
    <row r="23" spans="1:3" x14ac:dyDescent="0.25">
      <c r="A23" s="1" t="s">
        <v>157</v>
      </c>
      <c r="B23" s="1" t="s">
        <v>30</v>
      </c>
      <c r="C23" s="1" t="s">
        <v>31</v>
      </c>
    </row>
    <row r="24" spans="1:3" x14ac:dyDescent="0.25">
      <c r="A24" s="1" t="s">
        <v>158</v>
      </c>
      <c r="B24" s="1" t="s">
        <v>30</v>
      </c>
      <c r="C24" s="1" t="s">
        <v>31</v>
      </c>
    </row>
    <row r="25" spans="1:3" x14ac:dyDescent="0.25">
      <c r="A25" s="1" t="s">
        <v>159</v>
      </c>
      <c r="B25" s="1" t="s">
        <v>30</v>
      </c>
      <c r="C25" s="1" t="s">
        <v>31</v>
      </c>
    </row>
    <row r="26" spans="1:3" x14ac:dyDescent="0.25">
      <c r="A26" s="1" t="s">
        <v>160</v>
      </c>
      <c r="B26" s="1" t="s">
        <v>77</v>
      </c>
      <c r="C26" s="1" t="s">
        <v>31</v>
      </c>
    </row>
    <row r="27" spans="1:3" x14ac:dyDescent="0.25">
      <c r="A27" s="1" t="s">
        <v>161</v>
      </c>
      <c r="B27" s="1" t="s">
        <v>162</v>
      </c>
      <c r="C27" s="1" t="s">
        <v>31</v>
      </c>
    </row>
    <row r="28" spans="1:3" x14ac:dyDescent="0.25">
      <c r="A28" s="1" t="s">
        <v>163</v>
      </c>
      <c r="B28" s="1" t="s">
        <v>30</v>
      </c>
      <c r="C28" s="1" t="s">
        <v>31</v>
      </c>
    </row>
    <row r="29" spans="1:3" x14ac:dyDescent="0.25">
      <c r="A29" s="1" t="s">
        <v>164</v>
      </c>
      <c r="B29" s="1" t="s">
        <v>165</v>
      </c>
      <c r="C29" s="1" t="s">
        <v>89</v>
      </c>
    </row>
    <row r="30" spans="1:3" x14ac:dyDescent="0.25">
      <c r="A30" s="1" t="s">
        <v>166</v>
      </c>
      <c r="B30" s="1" t="s">
        <v>125</v>
      </c>
      <c r="C30" s="1" t="s">
        <v>34</v>
      </c>
    </row>
    <row r="31" spans="1:3" x14ac:dyDescent="0.25">
      <c r="A31" s="1" t="s">
        <v>167</v>
      </c>
      <c r="B31" s="1" t="s">
        <v>36</v>
      </c>
      <c r="C31" s="1" t="s">
        <v>37</v>
      </c>
    </row>
  </sheetData>
  <sortState xmlns:xlrd2="http://schemas.microsoft.com/office/spreadsheetml/2017/richdata2" ref="E3:F16">
    <sortCondition ref="E3:E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7A17-7FD9-43B3-BD1C-BC4D0E0CF09B}">
  <dimension ref="A1:F21"/>
  <sheetViews>
    <sheetView zoomScale="130" zoomScaleNormal="130" workbookViewId="0">
      <selection activeCell="E2" sqref="E2:F16"/>
    </sheetView>
  </sheetViews>
  <sheetFormatPr defaultRowHeight="15" x14ac:dyDescent="0.25"/>
  <cols>
    <col min="1" max="1" width="34.28515625" customWidth="1"/>
    <col min="2" max="2" width="63" customWidth="1"/>
    <col min="3" max="3" width="40" customWidth="1"/>
    <col min="5" max="5" width="24.28515625" customWidth="1"/>
  </cols>
  <sheetData>
    <row r="1" spans="1:6" ht="15.75" x14ac:dyDescent="0.25">
      <c r="A1" s="3" t="s">
        <v>38</v>
      </c>
      <c r="B1" s="3" t="s">
        <v>39</v>
      </c>
      <c r="C1" s="3" t="s">
        <v>40</v>
      </c>
      <c r="E1" s="7"/>
      <c r="F1" s="8" t="s">
        <v>258</v>
      </c>
    </row>
    <row r="2" spans="1:6" ht="15.75" x14ac:dyDescent="0.25">
      <c r="A2" s="1" t="s">
        <v>168</v>
      </c>
      <c r="B2" s="1" t="s">
        <v>169</v>
      </c>
      <c r="C2" s="1" t="s">
        <v>5</v>
      </c>
      <c r="E2" s="5" t="s">
        <v>2</v>
      </c>
      <c r="F2" s="2">
        <v>0</v>
      </c>
    </row>
    <row r="3" spans="1:6" ht="15.75" x14ac:dyDescent="0.25">
      <c r="A3" s="1" t="s">
        <v>170</v>
      </c>
      <c r="B3" s="1" t="s">
        <v>16</v>
      </c>
      <c r="C3" s="1" t="s">
        <v>12</v>
      </c>
      <c r="E3" s="7" t="s">
        <v>136</v>
      </c>
      <c r="F3" s="2">
        <v>0</v>
      </c>
    </row>
    <row r="4" spans="1:6" ht="15.75" x14ac:dyDescent="0.25">
      <c r="A4" s="1" t="s">
        <v>171</v>
      </c>
      <c r="B4" s="1" t="s">
        <v>11</v>
      </c>
      <c r="C4" s="1" t="s">
        <v>12</v>
      </c>
      <c r="E4" s="7" t="s">
        <v>5</v>
      </c>
      <c r="F4" s="2">
        <v>1</v>
      </c>
    </row>
    <row r="5" spans="1:6" ht="15.75" x14ac:dyDescent="0.25">
      <c r="A5" s="1" t="s">
        <v>172</v>
      </c>
      <c r="B5" s="1" t="s">
        <v>16</v>
      </c>
      <c r="C5" s="1" t="s">
        <v>12</v>
      </c>
      <c r="E5" s="7" t="s">
        <v>9</v>
      </c>
      <c r="F5" s="2">
        <v>0</v>
      </c>
    </row>
    <row r="6" spans="1:6" ht="15.75" x14ac:dyDescent="0.25">
      <c r="A6" s="1" t="s">
        <v>173</v>
      </c>
      <c r="B6" s="1" t="s">
        <v>11</v>
      </c>
      <c r="C6" s="1" t="s">
        <v>12</v>
      </c>
      <c r="E6" s="7" t="s">
        <v>234</v>
      </c>
      <c r="F6" s="2">
        <v>0</v>
      </c>
    </row>
    <row r="7" spans="1:6" ht="15.75" x14ac:dyDescent="0.25">
      <c r="A7" s="1" t="s">
        <v>174</v>
      </c>
      <c r="B7" s="1" t="s">
        <v>175</v>
      </c>
      <c r="C7" s="1" t="s">
        <v>19</v>
      </c>
      <c r="E7" s="7" t="s">
        <v>26</v>
      </c>
      <c r="F7" s="2">
        <v>5</v>
      </c>
    </row>
    <row r="8" spans="1:6" ht="15.75" x14ac:dyDescent="0.25">
      <c r="A8" s="1" t="s">
        <v>176</v>
      </c>
      <c r="B8" s="1" t="s">
        <v>177</v>
      </c>
      <c r="C8" s="1" t="s">
        <v>19</v>
      </c>
      <c r="E8" s="7" t="s">
        <v>103</v>
      </c>
      <c r="F8" s="2">
        <v>0</v>
      </c>
    </row>
    <row r="9" spans="1:6" ht="15.75" x14ac:dyDescent="0.25">
      <c r="A9" s="1" t="s">
        <v>178</v>
      </c>
      <c r="B9" s="1" t="s">
        <v>21</v>
      </c>
      <c r="C9" s="1" t="s">
        <v>19</v>
      </c>
      <c r="E9" s="7" t="s">
        <v>12</v>
      </c>
      <c r="F9" s="2">
        <v>4</v>
      </c>
    </row>
    <row r="10" spans="1:6" ht="15.75" x14ac:dyDescent="0.25">
      <c r="A10" s="1" t="s">
        <v>179</v>
      </c>
      <c r="B10" s="1" t="s">
        <v>60</v>
      </c>
      <c r="C10" s="1" t="s">
        <v>26</v>
      </c>
      <c r="E10" s="7" t="s">
        <v>19</v>
      </c>
      <c r="F10" s="2">
        <v>3</v>
      </c>
    </row>
    <row r="11" spans="1:6" ht="15.75" x14ac:dyDescent="0.25">
      <c r="A11" s="1" t="s">
        <v>180</v>
      </c>
      <c r="B11" s="1" t="s">
        <v>53</v>
      </c>
      <c r="C11" s="1" t="s">
        <v>26</v>
      </c>
      <c r="E11" s="7" t="s">
        <v>74</v>
      </c>
      <c r="F11" s="2">
        <v>0</v>
      </c>
    </row>
    <row r="12" spans="1:6" ht="15.75" x14ac:dyDescent="0.25">
      <c r="A12" s="1" t="s">
        <v>181</v>
      </c>
      <c r="B12" s="1" t="s">
        <v>148</v>
      </c>
      <c r="C12" s="1" t="s">
        <v>26</v>
      </c>
      <c r="E12" s="7" t="s">
        <v>31</v>
      </c>
      <c r="F12" s="2">
        <v>3</v>
      </c>
    </row>
    <row r="13" spans="1:6" ht="15.75" x14ac:dyDescent="0.25">
      <c r="A13" s="1" t="s">
        <v>182</v>
      </c>
      <c r="B13" s="1" t="s">
        <v>58</v>
      </c>
      <c r="C13" s="1" t="s">
        <v>26</v>
      </c>
      <c r="E13" s="7" t="s">
        <v>34</v>
      </c>
      <c r="F13" s="2">
        <v>2</v>
      </c>
    </row>
    <row r="14" spans="1:6" ht="15.75" x14ac:dyDescent="0.25">
      <c r="A14" s="1" t="s">
        <v>183</v>
      </c>
      <c r="B14" s="1" t="s">
        <v>65</v>
      </c>
      <c r="C14" s="1" t="s">
        <v>26</v>
      </c>
      <c r="E14" s="12" t="s">
        <v>289</v>
      </c>
      <c r="F14" s="13">
        <v>0</v>
      </c>
    </row>
    <row r="15" spans="1:6" ht="15.75" x14ac:dyDescent="0.25">
      <c r="A15" s="1" t="s">
        <v>184</v>
      </c>
      <c r="B15" s="1" t="s">
        <v>83</v>
      </c>
      <c r="C15" s="1" t="s">
        <v>31</v>
      </c>
      <c r="E15" s="7" t="s">
        <v>89</v>
      </c>
      <c r="F15" s="2">
        <v>1</v>
      </c>
    </row>
    <row r="16" spans="1:6" ht="15.75" x14ac:dyDescent="0.25">
      <c r="A16" s="1" t="s">
        <v>185</v>
      </c>
      <c r="B16" s="1" t="s">
        <v>120</v>
      </c>
      <c r="C16" s="1" t="s">
        <v>31</v>
      </c>
      <c r="E16" s="7" t="s">
        <v>37</v>
      </c>
      <c r="F16" s="2">
        <v>1</v>
      </c>
    </row>
    <row r="17" spans="1:3" x14ac:dyDescent="0.25">
      <c r="A17" s="1" t="s">
        <v>186</v>
      </c>
      <c r="B17" s="1" t="s">
        <v>30</v>
      </c>
      <c r="C17" s="1" t="s">
        <v>31</v>
      </c>
    </row>
    <row r="18" spans="1:3" x14ac:dyDescent="0.25">
      <c r="A18" s="1" t="s">
        <v>187</v>
      </c>
      <c r="B18" s="1" t="s">
        <v>188</v>
      </c>
      <c r="C18" s="1" t="s">
        <v>89</v>
      </c>
    </row>
    <row r="19" spans="1:3" x14ac:dyDescent="0.25">
      <c r="A19" s="1" t="s">
        <v>189</v>
      </c>
      <c r="B19" s="1" t="s">
        <v>125</v>
      </c>
      <c r="C19" s="1" t="s">
        <v>34</v>
      </c>
    </row>
    <row r="20" spans="1:3" x14ac:dyDescent="0.25">
      <c r="A20" s="1" t="s">
        <v>190</v>
      </c>
      <c r="B20" s="1" t="s">
        <v>191</v>
      </c>
      <c r="C20" s="1" t="s">
        <v>34</v>
      </c>
    </row>
    <row r="21" spans="1:3" x14ac:dyDescent="0.25">
      <c r="A21" s="1" t="s">
        <v>192</v>
      </c>
      <c r="B21" s="1" t="s">
        <v>36</v>
      </c>
      <c r="C21" s="1" t="s">
        <v>37</v>
      </c>
    </row>
  </sheetData>
  <sortState xmlns:xlrd2="http://schemas.microsoft.com/office/spreadsheetml/2017/richdata2" ref="E3:F16">
    <sortCondition ref="E3:E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3480-5A07-4A98-B684-2C25FE89B62C}">
  <dimension ref="A1:F19"/>
  <sheetViews>
    <sheetView zoomScale="145" zoomScaleNormal="145" workbookViewId="0">
      <selection activeCell="F16" sqref="E2:F16"/>
    </sheetView>
  </sheetViews>
  <sheetFormatPr defaultRowHeight="15" x14ac:dyDescent="0.25"/>
  <cols>
    <col min="1" max="1" width="34.28515625" customWidth="1"/>
    <col min="2" max="2" width="63" customWidth="1"/>
    <col min="3" max="3" width="40" customWidth="1"/>
    <col min="5" max="5" width="23.5703125" customWidth="1"/>
  </cols>
  <sheetData>
    <row r="1" spans="1:6" ht="15.75" x14ac:dyDescent="0.25">
      <c r="A1" s="3" t="s">
        <v>38</v>
      </c>
      <c r="B1" s="3" t="s">
        <v>39</v>
      </c>
      <c r="C1" s="3" t="s">
        <v>40</v>
      </c>
      <c r="E1" s="7"/>
      <c r="F1" s="8" t="s">
        <v>258</v>
      </c>
    </row>
    <row r="2" spans="1:6" ht="15.75" x14ac:dyDescent="0.25">
      <c r="A2" s="1" t="s">
        <v>193</v>
      </c>
      <c r="B2" s="1" t="s">
        <v>11</v>
      </c>
      <c r="C2" s="1" t="s">
        <v>12</v>
      </c>
      <c r="E2" s="5" t="s">
        <v>2</v>
      </c>
      <c r="F2" s="2">
        <v>0</v>
      </c>
    </row>
    <row r="3" spans="1:6" ht="15.75" x14ac:dyDescent="0.25">
      <c r="A3" s="1" t="s">
        <v>194</v>
      </c>
      <c r="B3" s="1" t="s">
        <v>11</v>
      </c>
      <c r="C3" s="1" t="s">
        <v>12</v>
      </c>
      <c r="E3" s="7" t="s">
        <v>136</v>
      </c>
      <c r="F3" s="2">
        <v>0</v>
      </c>
    </row>
    <row r="4" spans="1:6" ht="15.75" x14ac:dyDescent="0.25">
      <c r="A4" s="1" t="s">
        <v>195</v>
      </c>
      <c r="B4" s="1" t="s">
        <v>18</v>
      </c>
      <c r="C4" s="1" t="s">
        <v>19</v>
      </c>
      <c r="E4" s="7" t="s">
        <v>5</v>
      </c>
      <c r="F4" s="2">
        <v>0</v>
      </c>
    </row>
    <row r="5" spans="1:6" ht="15.75" x14ac:dyDescent="0.25">
      <c r="A5" s="1" t="s">
        <v>196</v>
      </c>
      <c r="B5" s="1" t="s">
        <v>197</v>
      </c>
      <c r="C5" s="1" t="s">
        <v>26</v>
      </c>
      <c r="E5" s="7" t="s">
        <v>9</v>
      </c>
      <c r="F5" s="2">
        <v>0</v>
      </c>
    </row>
    <row r="6" spans="1:6" ht="15.75" x14ac:dyDescent="0.25">
      <c r="A6" s="1" t="s">
        <v>198</v>
      </c>
      <c r="B6" s="1" t="s">
        <v>25</v>
      </c>
      <c r="C6" s="1" t="s">
        <v>26</v>
      </c>
      <c r="E6" s="7" t="s">
        <v>234</v>
      </c>
      <c r="F6" s="2">
        <v>0</v>
      </c>
    </row>
    <row r="7" spans="1:6" ht="15.75" x14ac:dyDescent="0.25">
      <c r="A7" s="1" t="s">
        <v>199</v>
      </c>
      <c r="B7" s="1" t="s">
        <v>25</v>
      </c>
      <c r="C7" s="1" t="s">
        <v>26</v>
      </c>
      <c r="E7" s="7" t="s">
        <v>26</v>
      </c>
      <c r="F7" s="2">
        <v>5</v>
      </c>
    </row>
    <row r="8" spans="1:6" ht="15.75" x14ac:dyDescent="0.25">
      <c r="A8" s="1" t="s">
        <v>200</v>
      </c>
      <c r="B8" s="1" t="s">
        <v>25</v>
      </c>
      <c r="C8" s="1" t="s">
        <v>26</v>
      </c>
      <c r="E8" s="7" t="s">
        <v>103</v>
      </c>
      <c r="F8" s="2">
        <v>0</v>
      </c>
    </row>
    <row r="9" spans="1:6" ht="15.75" x14ac:dyDescent="0.25">
      <c r="A9" s="1" t="s">
        <v>201</v>
      </c>
      <c r="B9" s="1" t="s">
        <v>25</v>
      </c>
      <c r="C9" s="1" t="s">
        <v>26</v>
      </c>
      <c r="E9" s="7" t="s">
        <v>12</v>
      </c>
      <c r="F9" s="2">
        <v>2</v>
      </c>
    </row>
    <row r="10" spans="1:6" ht="15.75" x14ac:dyDescent="0.25">
      <c r="A10" s="1" t="s">
        <v>202</v>
      </c>
      <c r="B10" s="1" t="s">
        <v>30</v>
      </c>
      <c r="C10" s="1" t="s">
        <v>31</v>
      </c>
      <c r="E10" s="7" t="s">
        <v>19</v>
      </c>
      <c r="F10" s="2">
        <v>1</v>
      </c>
    </row>
    <row r="11" spans="1:6" ht="15.75" x14ac:dyDescent="0.25">
      <c r="A11" s="1" t="s">
        <v>203</v>
      </c>
      <c r="B11" s="1" t="s">
        <v>30</v>
      </c>
      <c r="C11" s="1" t="s">
        <v>31</v>
      </c>
      <c r="E11" s="7" t="s">
        <v>74</v>
      </c>
      <c r="F11" s="2">
        <v>0</v>
      </c>
    </row>
    <row r="12" spans="1:6" ht="15.75" x14ac:dyDescent="0.25">
      <c r="A12" s="1" t="s">
        <v>204</v>
      </c>
      <c r="B12" s="1" t="s">
        <v>30</v>
      </c>
      <c r="C12" s="1" t="s">
        <v>31</v>
      </c>
      <c r="E12" s="7" t="s">
        <v>31</v>
      </c>
      <c r="F12" s="2">
        <v>7</v>
      </c>
    </row>
    <row r="13" spans="1:6" ht="15.75" x14ac:dyDescent="0.25">
      <c r="A13" s="1" t="s">
        <v>205</v>
      </c>
      <c r="B13" s="1" t="s">
        <v>30</v>
      </c>
      <c r="C13" s="1" t="s">
        <v>31</v>
      </c>
      <c r="E13" s="7" t="s">
        <v>34</v>
      </c>
      <c r="F13" s="2">
        <v>1</v>
      </c>
    </row>
    <row r="14" spans="1:6" ht="15.75" x14ac:dyDescent="0.25">
      <c r="A14" s="1" t="s">
        <v>206</v>
      </c>
      <c r="B14" s="1" t="s">
        <v>30</v>
      </c>
      <c r="C14" s="1" t="s">
        <v>31</v>
      </c>
      <c r="E14" s="12" t="s">
        <v>289</v>
      </c>
      <c r="F14" s="13">
        <v>0</v>
      </c>
    </row>
    <row r="15" spans="1:6" ht="15.75" x14ac:dyDescent="0.25">
      <c r="A15" s="1" t="s">
        <v>207</v>
      </c>
      <c r="B15" s="1" t="s">
        <v>30</v>
      </c>
      <c r="C15" s="1" t="s">
        <v>31</v>
      </c>
      <c r="E15" s="7" t="s">
        <v>89</v>
      </c>
      <c r="F15" s="2">
        <v>2</v>
      </c>
    </row>
    <row r="16" spans="1:6" ht="15.75" x14ac:dyDescent="0.25">
      <c r="A16" s="1" t="s">
        <v>208</v>
      </c>
      <c r="B16" s="1" t="s">
        <v>30</v>
      </c>
      <c r="C16" s="1" t="s">
        <v>31</v>
      </c>
      <c r="E16" s="7" t="s">
        <v>37</v>
      </c>
      <c r="F16" s="2">
        <v>0</v>
      </c>
    </row>
    <row r="17" spans="1:3" x14ac:dyDescent="0.25">
      <c r="A17" s="1" t="s">
        <v>209</v>
      </c>
      <c r="B17" s="1" t="s">
        <v>210</v>
      </c>
      <c r="C17" s="1" t="s">
        <v>89</v>
      </c>
    </row>
    <row r="18" spans="1:3" x14ac:dyDescent="0.25">
      <c r="A18" s="1" t="s">
        <v>211</v>
      </c>
      <c r="B18" s="1" t="s">
        <v>210</v>
      </c>
      <c r="C18" s="1" t="s">
        <v>89</v>
      </c>
    </row>
    <row r="19" spans="1:3" x14ac:dyDescent="0.25">
      <c r="A19" s="1" t="s">
        <v>212</v>
      </c>
      <c r="B19" s="1" t="s">
        <v>33</v>
      </c>
      <c r="C19" s="1" t="s">
        <v>34</v>
      </c>
    </row>
  </sheetData>
  <sortState xmlns:xlrd2="http://schemas.microsoft.com/office/spreadsheetml/2017/richdata2" ref="E3:F16">
    <sortCondition ref="E3:E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F40C-095C-4B7F-8F0E-2A8ADDFDE171}">
  <dimension ref="A1:F19"/>
  <sheetViews>
    <sheetView zoomScale="145" zoomScaleNormal="145" workbookViewId="0">
      <selection activeCell="B7" sqref="B7"/>
    </sheetView>
  </sheetViews>
  <sheetFormatPr defaultRowHeight="15" x14ac:dyDescent="0.25"/>
  <cols>
    <col min="1" max="1" width="34.28515625" customWidth="1"/>
    <col min="2" max="2" width="63" customWidth="1"/>
    <col min="3" max="3" width="40" customWidth="1"/>
    <col min="5" max="5" width="24.42578125" customWidth="1"/>
  </cols>
  <sheetData>
    <row r="1" spans="1:6" ht="15.75" x14ac:dyDescent="0.25">
      <c r="A1" s="3" t="s">
        <v>38</v>
      </c>
      <c r="B1" s="3" t="s">
        <v>39</v>
      </c>
      <c r="C1" s="3" t="s">
        <v>40</v>
      </c>
      <c r="E1" s="7"/>
      <c r="F1" s="8" t="s">
        <v>258</v>
      </c>
    </row>
    <row r="2" spans="1:6" ht="15.75" x14ac:dyDescent="0.25">
      <c r="A2" s="11" t="s">
        <v>213</v>
      </c>
      <c r="B2" s="1" t="s">
        <v>1</v>
      </c>
      <c r="C2" s="1" t="s">
        <v>2</v>
      </c>
      <c r="E2" s="5" t="s">
        <v>2</v>
      </c>
      <c r="F2" s="2">
        <v>1</v>
      </c>
    </row>
    <row r="3" spans="1:6" ht="15.75" x14ac:dyDescent="0.25">
      <c r="A3" s="11" t="s">
        <v>214</v>
      </c>
      <c r="B3" s="1" t="s">
        <v>11</v>
      </c>
      <c r="C3" s="1" t="s">
        <v>12</v>
      </c>
      <c r="E3" s="7" t="s">
        <v>136</v>
      </c>
      <c r="F3" s="2">
        <v>0</v>
      </c>
    </row>
    <row r="4" spans="1:6" ht="15.75" x14ac:dyDescent="0.25">
      <c r="A4" s="11" t="s">
        <v>215</v>
      </c>
      <c r="B4" s="1" t="s">
        <v>11</v>
      </c>
      <c r="C4" s="1" t="s">
        <v>12</v>
      </c>
      <c r="E4" s="7" t="s">
        <v>5</v>
      </c>
      <c r="F4" s="2">
        <v>0</v>
      </c>
    </row>
    <row r="5" spans="1:6" ht="15.75" x14ac:dyDescent="0.25">
      <c r="A5" s="11" t="s">
        <v>216</v>
      </c>
      <c r="B5" s="1" t="s">
        <v>11</v>
      </c>
      <c r="C5" s="1" t="s">
        <v>12</v>
      </c>
      <c r="E5" s="7" t="s">
        <v>9</v>
      </c>
      <c r="F5" s="2">
        <v>0</v>
      </c>
    </row>
    <row r="6" spans="1:6" ht="15.75" x14ac:dyDescent="0.25">
      <c r="A6" s="11" t="s">
        <v>217</v>
      </c>
      <c r="B6" s="1" t="s">
        <v>21</v>
      </c>
      <c r="C6" s="1" t="s">
        <v>19</v>
      </c>
      <c r="E6" s="7" t="s">
        <v>234</v>
      </c>
      <c r="F6" s="2">
        <v>0</v>
      </c>
    </row>
    <row r="7" spans="1:6" ht="15.75" x14ac:dyDescent="0.25">
      <c r="A7" s="11" t="s">
        <v>218</v>
      </c>
      <c r="B7" s="1" t="s">
        <v>21</v>
      </c>
      <c r="C7" s="1" t="s">
        <v>19</v>
      </c>
      <c r="E7" s="7" t="s">
        <v>26</v>
      </c>
      <c r="F7" s="2">
        <v>4</v>
      </c>
    </row>
    <row r="8" spans="1:6" ht="15.75" x14ac:dyDescent="0.25">
      <c r="A8" s="11" t="s">
        <v>219</v>
      </c>
      <c r="B8" s="1" t="s">
        <v>25</v>
      </c>
      <c r="C8" s="1" t="s">
        <v>26</v>
      </c>
      <c r="E8" s="7" t="s">
        <v>103</v>
      </c>
      <c r="F8" s="2">
        <v>0</v>
      </c>
    </row>
    <row r="9" spans="1:6" ht="15.75" x14ac:dyDescent="0.25">
      <c r="A9" s="11" t="s">
        <v>220</v>
      </c>
      <c r="B9" s="1" t="s">
        <v>25</v>
      </c>
      <c r="C9" s="1" t="s">
        <v>26</v>
      </c>
      <c r="E9" s="7" t="s">
        <v>12</v>
      </c>
      <c r="F9" s="2">
        <v>3</v>
      </c>
    </row>
    <row r="10" spans="1:6" ht="15.75" x14ac:dyDescent="0.25">
      <c r="A10" s="11" t="s">
        <v>221</v>
      </c>
      <c r="B10" s="1" t="s">
        <v>28</v>
      </c>
      <c r="C10" s="1" t="s">
        <v>26</v>
      </c>
      <c r="E10" s="7" t="s">
        <v>19</v>
      </c>
      <c r="F10" s="2">
        <v>2</v>
      </c>
    </row>
    <row r="11" spans="1:6" ht="15.75" x14ac:dyDescent="0.25">
      <c r="A11" s="11" t="s">
        <v>222</v>
      </c>
      <c r="B11" s="1" t="s">
        <v>25</v>
      </c>
      <c r="C11" s="1" t="s">
        <v>26</v>
      </c>
      <c r="E11" s="7" t="s">
        <v>74</v>
      </c>
      <c r="F11" s="2">
        <v>0</v>
      </c>
    </row>
    <row r="12" spans="1:6" ht="15.75" x14ac:dyDescent="0.25">
      <c r="A12" s="11" t="s">
        <v>223</v>
      </c>
      <c r="B12" s="1" t="s">
        <v>30</v>
      </c>
      <c r="C12" s="1" t="s">
        <v>31</v>
      </c>
      <c r="E12" s="7" t="s">
        <v>31</v>
      </c>
      <c r="F12" s="2">
        <v>2</v>
      </c>
    </row>
    <row r="13" spans="1:6" ht="15.75" x14ac:dyDescent="0.25">
      <c r="A13" s="11" t="s">
        <v>224</v>
      </c>
      <c r="B13" s="1" t="s">
        <v>30</v>
      </c>
      <c r="C13" s="1" t="s">
        <v>31</v>
      </c>
      <c r="E13" s="7" t="s">
        <v>34</v>
      </c>
      <c r="F13" s="2">
        <v>4</v>
      </c>
    </row>
    <row r="14" spans="1:6" ht="15.75" x14ac:dyDescent="0.25">
      <c r="A14" s="11" t="s">
        <v>225</v>
      </c>
      <c r="B14" s="1" t="s">
        <v>210</v>
      </c>
      <c r="C14" s="1" t="s">
        <v>89</v>
      </c>
      <c r="E14" s="12" t="s">
        <v>289</v>
      </c>
      <c r="F14" s="13">
        <v>0</v>
      </c>
    </row>
    <row r="15" spans="1:6" ht="15.75" x14ac:dyDescent="0.25">
      <c r="A15" s="11" t="s">
        <v>226</v>
      </c>
      <c r="B15" s="1" t="s">
        <v>227</v>
      </c>
      <c r="C15" s="1" t="s">
        <v>34</v>
      </c>
      <c r="E15" s="7" t="s">
        <v>89</v>
      </c>
      <c r="F15" s="2">
        <v>1</v>
      </c>
    </row>
    <row r="16" spans="1:6" ht="15.75" x14ac:dyDescent="0.25">
      <c r="A16" s="11" t="s">
        <v>228</v>
      </c>
      <c r="B16" s="1" t="s">
        <v>33</v>
      </c>
      <c r="C16" s="1" t="s">
        <v>34</v>
      </c>
      <c r="E16" s="7" t="s">
        <v>37</v>
      </c>
      <c r="F16" s="2">
        <v>1</v>
      </c>
    </row>
    <row r="17" spans="1:3" x14ac:dyDescent="0.25">
      <c r="A17" s="11" t="s">
        <v>229</v>
      </c>
      <c r="B17" s="1" t="s">
        <v>227</v>
      </c>
      <c r="C17" s="1" t="s">
        <v>34</v>
      </c>
    </row>
    <row r="18" spans="1:3" x14ac:dyDescent="0.25">
      <c r="A18" s="11" t="s">
        <v>230</v>
      </c>
      <c r="B18" s="1" t="s">
        <v>227</v>
      </c>
      <c r="C18" s="1" t="s">
        <v>34</v>
      </c>
    </row>
    <row r="19" spans="1:3" x14ac:dyDescent="0.25">
      <c r="A19" s="11" t="s">
        <v>231</v>
      </c>
      <c r="B19" s="1" t="s">
        <v>36</v>
      </c>
      <c r="C19" s="1" t="s">
        <v>37</v>
      </c>
    </row>
  </sheetData>
  <sortState xmlns:xlrd2="http://schemas.microsoft.com/office/spreadsheetml/2017/richdata2" ref="E3:F16">
    <sortCondition ref="E3:E1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8ABC-4122-48AE-8B90-F25EAD116FE8}">
  <dimension ref="A1:F23"/>
  <sheetViews>
    <sheetView zoomScale="145" zoomScaleNormal="145" workbookViewId="0">
      <selection activeCell="F16" sqref="F16"/>
    </sheetView>
  </sheetViews>
  <sheetFormatPr defaultRowHeight="15" x14ac:dyDescent="0.25"/>
  <cols>
    <col min="1" max="1" width="34.28515625" customWidth="1"/>
    <col min="2" max="2" width="63" customWidth="1"/>
    <col min="3" max="3" width="40" customWidth="1"/>
    <col min="5" max="5" width="24.85546875" customWidth="1"/>
  </cols>
  <sheetData>
    <row r="1" spans="1:6" ht="15.75" x14ac:dyDescent="0.25">
      <c r="A1" s="3" t="s">
        <v>38</v>
      </c>
      <c r="B1" s="3" t="s">
        <v>39</v>
      </c>
      <c r="C1" s="3" t="s">
        <v>40</v>
      </c>
      <c r="E1" s="7"/>
      <c r="F1" s="8" t="s">
        <v>258</v>
      </c>
    </row>
    <row r="2" spans="1:6" ht="15.75" x14ac:dyDescent="0.25">
      <c r="A2" s="11" t="s">
        <v>232</v>
      </c>
      <c r="B2" s="1" t="s">
        <v>233</v>
      </c>
      <c r="C2" s="1" t="s">
        <v>234</v>
      </c>
      <c r="E2" s="5" t="s">
        <v>2</v>
      </c>
      <c r="F2" s="2">
        <v>0</v>
      </c>
    </row>
    <row r="3" spans="1:6" ht="15.75" x14ac:dyDescent="0.25">
      <c r="A3" s="11" t="s">
        <v>235</v>
      </c>
      <c r="B3" s="1" t="s">
        <v>4</v>
      </c>
      <c r="C3" s="1" t="s">
        <v>5</v>
      </c>
      <c r="E3" s="7" t="s">
        <v>136</v>
      </c>
      <c r="F3" s="2">
        <v>0</v>
      </c>
    </row>
    <row r="4" spans="1:6" ht="15.75" x14ac:dyDescent="0.25">
      <c r="A4" s="11" t="s">
        <v>236</v>
      </c>
      <c r="B4" s="1" t="s">
        <v>237</v>
      </c>
      <c r="C4" s="1" t="s">
        <v>5</v>
      </c>
      <c r="E4" s="7" t="s">
        <v>5</v>
      </c>
      <c r="F4" s="2">
        <v>3</v>
      </c>
    </row>
    <row r="5" spans="1:6" ht="15.75" x14ac:dyDescent="0.25">
      <c r="A5" s="11" t="s">
        <v>238</v>
      </c>
      <c r="B5" s="1" t="s">
        <v>237</v>
      </c>
      <c r="C5" s="1" t="s">
        <v>5</v>
      </c>
      <c r="E5" s="7" t="s">
        <v>9</v>
      </c>
      <c r="F5" s="2">
        <v>0</v>
      </c>
    </row>
    <row r="6" spans="1:6" ht="15.75" x14ac:dyDescent="0.25">
      <c r="A6" s="11" t="s">
        <v>239</v>
      </c>
      <c r="B6" s="1" t="s">
        <v>16</v>
      </c>
      <c r="C6" s="1" t="s">
        <v>12</v>
      </c>
      <c r="E6" s="7" t="s">
        <v>234</v>
      </c>
      <c r="F6" s="2">
        <v>1</v>
      </c>
    </row>
    <row r="7" spans="1:6" ht="15.75" x14ac:dyDescent="0.25">
      <c r="A7" s="11" t="s">
        <v>240</v>
      </c>
      <c r="B7" s="1" t="s">
        <v>16</v>
      </c>
      <c r="C7" s="1" t="s">
        <v>12</v>
      </c>
      <c r="E7" s="7" t="s">
        <v>26</v>
      </c>
      <c r="F7" s="2">
        <v>5</v>
      </c>
    </row>
    <row r="8" spans="1:6" ht="15.75" x14ac:dyDescent="0.25">
      <c r="A8" s="11" t="s">
        <v>241</v>
      </c>
      <c r="B8" s="1" t="s">
        <v>16</v>
      </c>
      <c r="C8" s="1" t="s">
        <v>12</v>
      </c>
      <c r="E8" s="7" t="s">
        <v>103</v>
      </c>
      <c r="F8" s="2">
        <v>1</v>
      </c>
    </row>
    <row r="9" spans="1:6" ht="15.75" x14ac:dyDescent="0.25">
      <c r="A9" s="11" t="s">
        <v>242</v>
      </c>
      <c r="B9" s="1" t="s">
        <v>16</v>
      </c>
      <c r="C9" s="1" t="s">
        <v>12</v>
      </c>
      <c r="E9" s="7" t="s">
        <v>12</v>
      </c>
      <c r="F9" s="2">
        <v>4</v>
      </c>
    </row>
    <row r="10" spans="1:6" ht="15.75" x14ac:dyDescent="0.25">
      <c r="A10" s="11" t="s">
        <v>243</v>
      </c>
      <c r="B10" s="1" t="s">
        <v>23</v>
      </c>
      <c r="C10" s="1" t="s">
        <v>19</v>
      </c>
      <c r="E10" s="7" t="s">
        <v>19</v>
      </c>
      <c r="F10" s="2">
        <v>1</v>
      </c>
    </row>
    <row r="11" spans="1:6" ht="15.75" x14ac:dyDescent="0.25">
      <c r="A11" s="11" t="s">
        <v>244</v>
      </c>
      <c r="B11" s="1" t="s">
        <v>102</v>
      </c>
      <c r="C11" s="1" t="s">
        <v>103</v>
      </c>
      <c r="E11" s="7" t="s">
        <v>74</v>
      </c>
      <c r="F11" s="2">
        <v>0</v>
      </c>
    </row>
    <row r="12" spans="1:6" ht="15.75" x14ac:dyDescent="0.25">
      <c r="A12" s="11" t="s">
        <v>245</v>
      </c>
      <c r="B12" s="1" t="s">
        <v>25</v>
      </c>
      <c r="C12" s="1" t="s">
        <v>26</v>
      </c>
      <c r="E12" s="7" t="s">
        <v>31</v>
      </c>
      <c r="F12" s="2">
        <v>2</v>
      </c>
    </row>
    <row r="13" spans="1:6" ht="15.75" x14ac:dyDescent="0.25">
      <c r="A13" s="11" t="s">
        <v>246</v>
      </c>
      <c r="B13" s="1" t="s">
        <v>28</v>
      </c>
      <c r="C13" s="1" t="s">
        <v>26</v>
      </c>
      <c r="E13" s="7" t="s">
        <v>34</v>
      </c>
      <c r="F13" s="2">
        <v>2</v>
      </c>
    </row>
    <row r="14" spans="1:6" ht="15.75" x14ac:dyDescent="0.25">
      <c r="A14" s="11" t="s">
        <v>247</v>
      </c>
      <c r="B14" s="1" t="s">
        <v>28</v>
      </c>
      <c r="C14" s="1" t="s">
        <v>26</v>
      </c>
      <c r="E14" s="12" t="s">
        <v>289</v>
      </c>
      <c r="F14" s="13">
        <v>0</v>
      </c>
    </row>
    <row r="15" spans="1:6" ht="15.75" x14ac:dyDescent="0.25">
      <c r="A15" s="11" t="s">
        <v>248</v>
      </c>
      <c r="B15" s="1" t="s">
        <v>28</v>
      </c>
      <c r="C15" s="1" t="s">
        <v>26</v>
      </c>
      <c r="E15" s="7" t="s">
        <v>89</v>
      </c>
      <c r="F15" s="2">
        <v>2</v>
      </c>
    </row>
    <row r="16" spans="1:6" ht="15.75" x14ac:dyDescent="0.25">
      <c r="A16" s="11" t="s">
        <v>249</v>
      </c>
      <c r="B16" s="1" t="s">
        <v>25</v>
      </c>
      <c r="C16" s="1" t="s">
        <v>26</v>
      </c>
      <c r="E16" s="7" t="s">
        <v>37</v>
      </c>
      <c r="F16" s="2">
        <v>1</v>
      </c>
    </row>
    <row r="17" spans="1:3" x14ac:dyDescent="0.25">
      <c r="A17" s="11" t="s">
        <v>250</v>
      </c>
      <c r="B17" s="1" t="s">
        <v>30</v>
      </c>
      <c r="C17" s="1" t="s">
        <v>31</v>
      </c>
    </row>
    <row r="18" spans="1:3" x14ac:dyDescent="0.25">
      <c r="A18" s="11" t="s">
        <v>251</v>
      </c>
      <c r="B18" s="1" t="s">
        <v>30</v>
      </c>
      <c r="C18" s="1" t="s">
        <v>31</v>
      </c>
    </row>
    <row r="19" spans="1:3" x14ac:dyDescent="0.25">
      <c r="A19" s="11" t="s">
        <v>252</v>
      </c>
      <c r="B19" s="1" t="s">
        <v>210</v>
      </c>
      <c r="C19" s="1" t="s">
        <v>89</v>
      </c>
    </row>
    <row r="20" spans="1:3" x14ac:dyDescent="0.25">
      <c r="A20" s="11" t="s">
        <v>253</v>
      </c>
      <c r="B20" s="1" t="s">
        <v>254</v>
      </c>
      <c r="C20" s="1" t="s">
        <v>89</v>
      </c>
    </row>
    <row r="21" spans="1:3" x14ac:dyDescent="0.25">
      <c r="A21" s="11" t="s">
        <v>255</v>
      </c>
      <c r="B21" s="1" t="s">
        <v>227</v>
      </c>
      <c r="C21" s="1" t="s">
        <v>34</v>
      </c>
    </row>
    <row r="22" spans="1:3" x14ac:dyDescent="0.25">
      <c r="A22" s="11" t="s">
        <v>256</v>
      </c>
      <c r="B22" s="1" t="s">
        <v>33</v>
      </c>
      <c r="C22" s="1" t="s">
        <v>34</v>
      </c>
    </row>
    <row r="23" spans="1:3" x14ac:dyDescent="0.25">
      <c r="A23" s="11" t="s">
        <v>257</v>
      </c>
      <c r="B23" s="1" t="s">
        <v>36</v>
      </c>
      <c r="C23" s="1" t="s">
        <v>37</v>
      </c>
    </row>
  </sheetData>
  <sortState xmlns:xlrd2="http://schemas.microsoft.com/office/spreadsheetml/2017/richdata2" ref="E3:F16">
    <sortCondition ref="E3:E1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A350-51E2-4007-9F65-9439616502FC}">
  <dimension ref="A1:F16"/>
  <sheetViews>
    <sheetView zoomScale="145" zoomScaleNormal="145" workbookViewId="0">
      <selection activeCell="E16" sqref="E16"/>
    </sheetView>
  </sheetViews>
  <sheetFormatPr defaultRowHeight="15" x14ac:dyDescent="0.25"/>
  <cols>
    <col min="1" max="1" width="34.28515625" customWidth="1"/>
    <col min="2" max="2" width="63" customWidth="1"/>
    <col min="3" max="3" width="40" customWidth="1"/>
    <col min="5" max="5" width="24.85546875" customWidth="1"/>
  </cols>
  <sheetData>
    <row r="1" spans="1:6" ht="15.75" x14ac:dyDescent="0.25">
      <c r="A1" s="3" t="s">
        <v>38</v>
      </c>
      <c r="B1" s="3" t="s">
        <v>39</v>
      </c>
      <c r="C1" s="3" t="s">
        <v>40</v>
      </c>
      <c r="E1" s="7"/>
      <c r="F1" s="8" t="s">
        <v>258</v>
      </c>
    </row>
    <row r="2" spans="1:6" ht="15.75" x14ac:dyDescent="0.25">
      <c r="A2" s="11" t="s">
        <v>0</v>
      </c>
      <c r="B2" s="1" t="s">
        <v>1</v>
      </c>
      <c r="C2" s="1" t="s">
        <v>2</v>
      </c>
      <c r="E2" s="5" t="s">
        <v>2</v>
      </c>
      <c r="F2" s="2">
        <v>1</v>
      </c>
    </row>
    <row r="3" spans="1:6" ht="15.75" x14ac:dyDescent="0.25">
      <c r="A3" s="11" t="s">
        <v>3</v>
      </c>
      <c r="B3" s="1" t="s">
        <v>4</v>
      </c>
      <c r="C3" s="1" t="s">
        <v>5</v>
      </c>
      <c r="E3" s="7" t="s">
        <v>136</v>
      </c>
      <c r="F3" s="2">
        <v>0</v>
      </c>
    </row>
    <row r="4" spans="1:6" ht="15.75" x14ac:dyDescent="0.25">
      <c r="A4" s="11" t="s">
        <v>6</v>
      </c>
      <c r="B4" s="1" t="s">
        <v>4</v>
      </c>
      <c r="C4" s="1" t="s">
        <v>5</v>
      </c>
      <c r="E4" s="7" t="s">
        <v>5</v>
      </c>
      <c r="F4" s="2">
        <v>2</v>
      </c>
    </row>
    <row r="5" spans="1:6" ht="15.75" x14ac:dyDescent="0.25">
      <c r="A5" s="11" t="s">
        <v>7</v>
      </c>
      <c r="B5" s="1" t="s">
        <v>8</v>
      </c>
      <c r="C5" s="1" t="s">
        <v>9</v>
      </c>
      <c r="E5" s="7" t="s">
        <v>9</v>
      </c>
      <c r="F5" s="2">
        <v>1</v>
      </c>
    </row>
    <row r="6" spans="1:6" ht="15.75" x14ac:dyDescent="0.25">
      <c r="A6" s="11" t="s">
        <v>10</v>
      </c>
      <c r="B6" s="1" t="s">
        <v>11</v>
      </c>
      <c r="C6" s="1" t="s">
        <v>12</v>
      </c>
      <c r="E6" s="7" t="s">
        <v>234</v>
      </c>
      <c r="F6" s="2">
        <v>0</v>
      </c>
    </row>
    <row r="7" spans="1:6" ht="15.75" x14ac:dyDescent="0.25">
      <c r="A7" s="11" t="s">
        <v>13</v>
      </c>
      <c r="B7" s="1" t="s">
        <v>14</v>
      </c>
      <c r="C7" s="1" t="s">
        <v>12</v>
      </c>
      <c r="E7" s="7" t="s">
        <v>26</v>
      </c>
      <c r="F7" s="2">
        <v>2</v>
      </c>
    </row>
    <row r="8" spans="1:6" ht="15.75" x14ac:dyDescent="0.25">
      <c r="A8" s="11" t="s">
        <v>15</v>
      </c>
      <c r="B8" s="1" t="s">
        <v>16</v>
      </c>
      <c r="C8" s="1" t="s">
        <v>12</v>
      </c>
      <c r="E8" s="7" t="s">
        <v>103</v>
      </c>
      <c r="F8" s="2">
        <v>0</v>
      </c>
    </row>
    <row r="9" spans="1:6" ht="15.75" x14ac:dyDescent="0.25">
      <c r="A9" s="11" t="s">
        <v>17</v>
      </c>
      <c r="B9" s="1" t="s">
        <v>18</v>
      </c>
      <c r="C9" s="1" t="s">
        <v>19</v>
      </c>
      <c r="E9" s="7" t="s">
        <v>12</v>
      </c>
      <c r="F9" s="2">
        <v>3</v>
      </c>
    </row>
    <row r="10" spans="1:6" ht="15.75" x14ac:dyDescent="0.25">
      <c r="A10" s="11" t="s">
        <v>20</v>
      </c>
      <c r="B10" s="1" t="s">
        <v>21</v>
      </c>
      <c r="C10" s="1" t="s">
        <v>19</v>
      </c>
      <c r="E10" s="7" t="s">
        <v>19</v>
      </c>
      <c r="F10" s="2">
        <v>3</v>
      </c>
    </row>
    <row r="11" spans="1:6" ht="15.75" x14ac:dyDescent="0.25">
      <c r="A11" s="11" t="s">
        <v>22</v>
      </c>
      <c r="B11" s="1" t="s">
        <v>23</v>
      </c>
      <c r="C11" s="1" t="s">
        <v>19</v>
      </c>
      <c r="E11" s="7" t="s">
        <v>74</v>
      </c>
      <c r="F11" s="2">
        <v>0</v>
      </c>
    </row>
    <row r="12" spans="1:6" ht="15.75" x14ac:dyDescent="0.25">
      <c r="A12" s="11" t="s">
        <v>24</v>
      </c>
      <c r="B12" s="1" t="s">
        <v>25</v>
      </c>
      <c r="C12" s="1" t="s">
        <v>26</v>
      </c>
      <c r="E12" s="7" t="s">
        <v>31</v>
      </c>
      <c r="F12" s="2">
        <v>1</v>
      </c>
    </row>
    <row r="13" spans="1:6" ht="15.75" x14ac:dyDescent="0.25">
      <c r="A13" s="11" t="s">
        <v>27</v>
      </c>
      <c r="B13" s="1" t="s">
        <v>28</v>
      </c>
      <c r="C13" s="1" t="s">
        <v>26</v>
      </c>
      <c r="E13" s="7" t="s">
        <v>34</v>
      </c>
      <c r="F13" s="2">
        <v>1</v>
      </c>
    </row>
    <row r="14" spans="1:6" ht="15.75" x14ac:dyDescent="0.25">
      <c r="A14" s="11" t="s">
        <v>29</v>
      </c>
      <c r="B14" s="1" t="s">
        <v>30</v>
      </c>
      <c r="C14" s="1" t="s">
        <v>31</v>
      </c>
      <c r="E14" s="7" t="s">
        <v>89</v>
      </c>
      <c r="F14" s="2">
        <v>0</v>
      </c>
    </row>
    <row r="15" spans="1:6" ht="15.75" x14ac:dyDescent="0.25">
      <c r="A15" s="11" t="s">
        <v>32</v>
      </c>
      <c r="B15" s="1" t="s">
        <v>33</v>
      </c>
      <c r="C15" s="1" t="s">
        <v>34</v>
      </c>
      <c r="E15" s="7" t="s">
        <v>37</v>
      </c>
      <c r="F15" s="2">
        <v>1</v>
      </c>
    </row>
    <row r="16" spans="1:6" ht="15.75" x14ac:dyDescent="0.25">
      <c r="A16" s="11" t="s">
        <v>35</v>
      </c>
      <c r="B16" s="1" t="s">
        <v>36</v>
      </c>
      <c r="C16" s="1" t="s">
        <v>37</v>
      </c>
      <c r="E16" s="12" t="s">
        <v>289</v>
      </c>
      <c r="F16" s="13">
        <v>0</v>
      </c>
    </row>
  </sheetData>
  <sortState xmlns:xlrd2="http://schemas.microsoft.com/office/spreadsheetml/2017/richdata2" ref="E3:F15">
    <sortCondition ref="E3:E1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F4D-7EBF-4AC0-97D5-73D3F2A8F908}">
  <dimension ref="A1:B17"/>
  <sheetViews>
    <sheetView zoomScale="220" zoomScaleNormal="220" workbookViewId="0">
      <selection activeCell="B9" sqref="B9"/>
    </sheetView>
  </sheetViews>
  <sheetFormatPr defaultRowHeight="15.75" x14ac:dyDescent="0.25"/>
  <cols>
    <col min="1" max="1" width="28.5703125" style="6" customWidth="1"/>
    <col min="2" max="2" width="19.7109375" customWidth="1"/>
  </cols>
  <sheetData>
    <row r="1" spans="1:2" x14ac:dyDescent="0.25">
      <c r="A1" s="9"/>
      <c r="B1" s="10" t="s">
        <v>258</v>
      </c>
    </row>
    <row r="2" spans="1:2" x14ac:dyDescent="0.25">
      <c r="A2" s="5" t="s">
        <v>2</v>
      </c>
      <c r="B2" s="2">
        <v>4</v>
      </c>
    </row>
    <row r="3" spans="1:2" x14ac:dyDescent="0.25">
      <c r="A3" s="7" t="s">
        <v>136</v>
      </c>
      <c r="B3" s="2">
        <v>1</v>
      </c>
    </row>
    <row r="4" spans="1:2" x14ac:dyDescent="0.25">
      <c r="A4" s="7" t="s">
        <v>5</v>
      </c>
      <c r="B4" s="2">
        <v>11</v>
      </c>
    </row>
    <row r="5" spans="1:2" x14ac:dyDescent="0.25">
      <c r="A5" s="7" t="s">
        <v>9</v>
      </c>
      <c r="B5" s="2">
        <v>4</v>
      </c>
    </row>
    <row r="6" spans="1:2" x14ac:dyDescent="0.25">
      <c r="A6" s="5" t="s">
        <v>234</v>
      </c>
      <c r="B6" s="2">
        <v>1</v>
      </c>
    </row>
    <row r="7" spans="1:2" x14ac:dyDescent="0.25">
      <c r="A7" s="7" t="s">
        <v>26</v>
      </c>
      <c r="B7" s="2">
        <v>48</v>
      </c>
    </row>
    <row r="8" spans="1:2" x14ac:dyDescent="0.25">
      <c r="A8" s="7" t="s">
        <v>103</v>
      </c>
      <c r="B8" s="2">
        <v>2</v>
      </c>
    </row>
    <row r="9" spans="1:2" x14ac:dyDescent="0.25">
      <c r="A9" s="7" t="s">
        <v>12</v>
      </c>
      <c r="B9" s="2">
        <v>25</v>
      </c>
    </row>
    <row r="10" spans="1:2" x14ac:dyDescent="0.25">
      <c r="A10" s="7" t="s">
        <v>19</v>
      </c>
      <c r="B10" s="2">
        <v>18</v>
      </c>
    </row>
    <row r="11" spans="1:2" x14ac:dyDescent="0.25">
      <c r="A11" s="7" t="s">
        <v>74</v>
      </c>
      <c r="B11" s="2">
        <v>3</v>
      </c>
    </row>
    <row r="12" spans="1:2" x14ac:dyDescent="0.25">
      <c r="A12" s="7" t="s">
        <v>31</v>
      </c>
      <c r="B12" s="2">
        <v>31</v>
      </c>
    </row>
    <row r="13" spans="1:2" x14ac:dyDescent="0.25">
      <c r="A13" s="7" t="s">
        <v>34</v>
      </c>
      <c r="B13" s="2">
        <v>13</v>
      </c>
    </row>
    <row r="14" spans="1:2" x14ac:dyDescent="0.25">
      <c r="A14" s="7" t="s">
        <v>86</v>
      </c>
      <c r="B14" s="13">
        <v>1</v>
      </c>
    </row>
    <row r="15" spans="1:2" x14ac:dyDescent="0.25">
      <c r="A15" s="7" t="s">
        <v>89</v>
      </c>
      <c r="B15" s="2">
        <v>10</v>
      </c>
    </row>
    <row r="16" spans="1:2" x14ac:dyDescent="0.25">
      <c r="A16" s="7" t="s">
        <v>37</v>
      </c>
      <c r="B16" s="2">
        <v>7</v>
      </c>
    </row>
    <row r="17" spans="1:2" x14ac:dyDescent="0.25">
      <c r="A17" s="9" t="s">
        <v>259</v>
      </c>
      <c r="B17" s="14">
        <f>SUM(B2:B16)</f>
        <v>179</v>
      </c>
    </row>
  </sheetData>
  <sortState xmlns:xlrd2="http://schemas.microsoft.com/office/spreadsheetml/2017/richdata2" ref="A3:B16">
    <sortCondition ref="A3:A1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A937-AAA4-4C2F-9E16-53F2F6FD3703}">
  <dimension ref="A1:C21"/>
  <sheetViews>
    <sheetView zoomScale="160" zoomScaleNormal="160" workbookViewId="0">
      <selection activeCell="C18" sqref="C18"/>
    </sheetView>
  </sheetViews>
  <sheetFormatPr defaultRowHeight="15" x14ac:dyDescent="0.25"/>
  <cols>
    <col min="1" max="1" width="27.85546875" customWidth="1"/>
    <col min="2" max="2" width="69.5703125" customWidth="1"/>
    <col min="3" max="3" width="33.7109375" customWidth="1"/>
  </cols>
  <sheetData>
    <row r="1" spans="1:3" x14ac:dyDescent="0.25">
      <c r="A1" s="1" t="s">
        <v>260</v>
      </c>
      <c r="B1" s="1" t="s">
        <v>261</v>
      </c>
      <c r="C1" s="1" t="s">
        <v>2</v>
      </c>
    </row>
    <row r="2" spans="1:3" x14ac:dyDescent="0.25">
      <c r="A2" s="1" t="s">
        <v>262</v>
      </c>
      <c r="B2" s="1" t="s">
        <v>4</v>
      </c>
      <c r="C2" s="1" t="s">
        <v>5</v>
      </c>
    </row>
    <row r="3" spans="1:3" x14ac:dyDescent="0.25">
      <c r="A3" s="1" t="s">
        <v>263</v>
      </c>
      <c r="B3" s="1" t="s">
        <v>264</v>
      </c>
      <c r="C3" s="1" t="s">
        <v>136</v>
      </c>
    </row>
    <row r="4" spans="1:3" x14ac:dyDescent="0.25">
      <c r="A4" s="1" t="s">
        <v>265</v>
      </c>
      <c r="B4" s="1" t="s">
        <v>8</v>
      </c>
      <c r="C4" s="1" t="s">
        <v>9</v>
      </c>
    </row>
    <row r="5" spans="1:3" x14ac:dyDescent="0.25">
      <c r="A5" s="1" t="s">
        <v>266</v>
      </c>
      <c r="B5" s="1" t="s">
        <v>267</v>
      </c>
      <c r="C5" s="1" t="s">
        <v>12</v>
      </c>
    </row>
    <row r="6" spans="1:3" x14ac:dyDescent="0.25">
      <c r="A6" s="1" t="s">
        <v>268</v>
      </c>
      <c r="B6" s="1" t="s">
        <v>269</v>
      </c>
      <c r="C6" s="1" t="s">
        <v>12</v>
      </c>
    </row>
    <row r="7" spans="1:3" x14ac:dyDescent="0.25">
      <c r="A7" s="1" t="s">
        <v>270</v>
      </c>
      <c r="B7" s="1" t="s">
        <v>21</v>
      </c>
      <c r="C7" s="1" t="s">
        <v>19</v>
      </c>
    </row>
    <row r="8" spans="1:3" x14ac:dyDescent="0.25">
      <c r="A8" s="1" t="s">
        <v>271</v>
      </c>
      <c r="B8" s="1" t="s">
        <v>272</v>
      </c>
      <c r="C8" s="1" t="s">
        <v>19</v>
      </c>
    </row>
    <row r="9" spans="1:3" x14ac:dyDescent="0.25">
      <c r="A9" s="1" t="s">
        <v>273</v>
      </c>
      <c r="B9" s="1" t="s">
        <v>102</v>
      </c>
      <c r="C9" s="1" t="s">
        <v>103</v>
      </c>
    </row>
    <row r="10" spans="1:3" x14ac:dyDescent="0.25">
      <c r="A10" s="1" t="s">
        <v>274</v>
      </c>
      <c r="B10" s="1" t="s">
        <v>108</v>
      </c>
      <c r="C10" s="1" t="s">
        <v>26</v>
      </c>
    </row>
    <row r="11" spans="1:3" x14ac:dyDescent="0.25">
      <c r="A11" s="1" t="s">
        <v>275</v>
      </c>
      <c r="B11" s="1" t="s">
        <v>25</v>
      </c>
      <c r="C11" s="1" t="s">
        <v>26</v>
      </c>
    </row>
    <row r="12" spans="1:3" x14ac:dyDescent="0.25">
      <c r="A12" s="1" t="s">
        <v>276</v>
      </c>
      <c r="B12" s="1" t="s">
        <v>71</v>
      </c>
      <c r="C12" s="1" t="s">
        <v>26</v>
      </c>
    </row>
    <row r="13" spans="1:3" x14ac:dyDescent="0.25">
      <c r="A13" s="1" t="s">
        <v>277</v>
      </c>
      <c r="B13" s="1" t="s">
        <v>197</v>
      </c>
      <c r="C13" s="1" t="s">
        <v>26</v>
      </c>
    </row>
    <row r="14" spans="1:3" x14ac:dyDescent="0.25">
      <c r="A14" s="1" t="s">
        <v>278</v>
      </c>
      <c r="B14" s="1" t="s">
        <v>279</v>
      </c>
      <c r="C14" s="1" t="s">
        <v>26</v>
      </c>
    </row>
    <row r="15" spans="1:3" x14ac:dyDescent="0.25">
      <c r="A15" s="1" t="s">
        <v>280</v>
      </c>
      <c r="B15" s="1" t="s">
        <v>73</v>
      </c>
      <c r="C15" s="1" t="s">
        <v>74</v>
      </c>
    </row>
    <row r="16" spans="1:3" x14ac:dyDescent="0.25">
      <c r="A16" s="1" t="s">
        <v>281</v>
      </c>
      <c r="B16" s="1" t="s">
        <v>30</v>
      </c>
      <c r="C16" s="1" t="s">
        <v>31</v>
      </c>
    </row>
    <row r="17" spans="1:3" x14ac:dyDescent="0.25">
      <c r="A17" s="1" t="s">
        <v>282</v>
      </c>
      <c r="B17" s="1" t="s">
        <v>120</v>
      </c>
      <c r="C17" s="1" t="s">
        <v>31</v>
      </c>
    </row>
    <row r="18" spans="1:3" x14ac:dyDescent="0.25">
      <c r="A18" s="1" t="s">
        <v>283</v>
      </c>
      <c r="B18" s="1" t="s">
        <v>284</v>
      </c>
      <c r="C18" s="1" t="s">
        <v>31</v>
      </c>
    </row>
    <row r="19" spans="1:3" x14ac:dyDescent="0.25">
      <c r="A19" s="1" t="s">
        <v>285</v>
      </c>
      <c r="B19" s="1" t="s">
        <v>88</v>
      </c>
      <c r="C19" s="1" t="s">
        <v>89</v>
      </c>
    </row>
    <row r="20" spans="1:3" x14ac:dyDescent="0.25">
      <c r="A20" s="1" t="s">
        <v>286</v>
      </c>
      <c r="B20" s="1" t="s">
        <v>287</v>
      </c>
      <c r="C20" s="1" t="s">
        <v>34</v>
      </c>
    </row>
    <row r="21" spans="1:3" x14ac:dyDescent="0.25">
      <c r="A21" s="1" t="s">
        <v>288</v>
      </c>
      <c r="B21" s="1" t="s">
        <v>36</v>
      </c>
      <c r="C21" s="1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BC59-1AD9-449A-9B0A-8F657CBF8E0A}">
  <dimension ref="A1:D32"/>
  <sheetViews>
    <sheetView tabSelected="1" workbookViewId="0">
      <selection activeCell="E12" sqref="E12"/>
    </sheetView>
  </sheetViews>
  <sheetFormatPr defaultRowHeight="15" x14ac:dyDescent="0.25"/>
  <cols>
    <col min="1" max="1" width="34.42578125" customWidth="1"/>
    <col min="2" max="2" width="27.85546875" customWidth="1"/>
    <col min="3" max="3" width="66.5703125" customWidth="1"/>
    <col min="4" max="4" width="28.28515625" customWidth="1"/>
  </cols>
  <sheetData>
    <row r="1" spans="1:4" x14ac:dyDescent="0.25">
      <c r="A1" s="1" t="s">
        <v>290</v>
      </c>
      <c r="B1" s="1" t="s">
        <v>291</v>
      </c>
      <c r="C1" s="1" t="s">
        <v>292</v>
      </c>
      <c r="D1" s="1" t="s">
        <v>12</v>
      </c>
    </row>
    <row r="2" spans="1:4" x14ac:dyDescent="0.25">
      <c r="A2" s="1" t="s">
        <v>293</v>
      </c>
      <c r="B2" s="1" t="s">
        <v>294</v>
      </c>
      <c r="C2" s="1" t="s">
        <v>295</v>
      </c>
      <c r="D2" s="1" t="s">
        <v>26</v>
      </c>
    </row>
    <row r="3" spans="1:4" x14ac:dyDescent="0.25">
      <c r="A3" s="1" t="s">
        <v>296</v>
      </c>
      <c r="B3" s="1" t="s">
        <v>297</v>
      </c>
      <c r="C3" s="1" t="s">
        <v>292</v>
      </c>
      <c r="D3" s="1" t="s">
        <v>12</v>
      </c>
    </row>
    <row r="4" spans="1:4" x14ac:dyDescent="0.25">
      <c r="A4" s="1" t="s">
        <v>298</v>
      </c>
      <c r="B4" s="1" t="s">
        <v>297</v>
      </c>
      <c r="C4" s="1" t="s">
        <v>292</v>
      </c>
      <c r="D4" s="1" t="s">
        <v>12</v>
      </c>
    </row>
    <row r="5" spans="1:4" x14ac:dyDescent="0.25">
      <c r="A5" s="1" t="s">
        <v>299</v>
      </c>
      <c r="B5" s="1" t="s">
        <v>300</v>
      </c>
      <c r="C5" s="1" t="s">
        <v>16</v>
      </c>
      <c r="D5" s="1" t="s">
        <v>12</v>
      </c>
    </row>
    <row r="6" spans="1:4" x14ac:dyDescent="0.25">
      <c r="A6" s="1" t="s">
        <v>301</v>
      </c>
      <c r="B6" s="1" t="s">
        <v>302</v>
      </c>
      <c r="C6" s="1" t="s">
        <v>197</v>
      </c>
      <c r="D6" s="1" t="s">
        <v>26</v>
      </c>
    </row>
    <row r="7" spans="1:4" x14ac:dyDescent="0.25">
      <c r="A7" s="1" t="s">
        <v>303</v>
      </c>
      <c r="B7" s="1" t="s">
        <v>302</v>
      </c>
      <c r="C7" s="1" t="s">
        <v>197</v>
      </c>
      <c r="D7" s="1" t="s">
        <v>26</v>
      </c>
    </row>
    <row r="8" spans="1:4" x14ac:dyDescent="0.25">
      <c r="A8" s="1" t="s">
        <v>304</v>
      </c>
      <c r="B8" s="1" t="s">
        <v>305</v>
      </c>
      <c r="C8" s="1" t="s">
        <v>306</v>
      </c>
      <c r="D8" s="1" t="s">
        <v>2</v>
      </c>
    </row>
    <row r="9" spans="1:4" x14ac:dyDescent="0.25">
      <c r="A9" s="1" t="s">
        <v>307</v>
      </c>
      <c r="B9" s="1" t="s">
        <v>305</v>
      </c>
      <c r="C9" s="1" t="s">
        <v>308</v>
      </c>
      <c r="D9" s="1" t="s">
        <v>5</v>
      </c>
    </row>
    <row r="10" spans="1:4" x14ac:dyDescent="0.25">
      <c r="A10" s="1" t="s">
        <v>309</v>
      </c>
      <c r="B10" s="1" t="s">
        <v>305</v>
      </c>
      <c r="C10" s="1" t="s">
        <v>131</v>
      </c>
      <c r="D10" s="1" t="s">
        <v>5</v>
      </c>
    </row>
    <row r="11" spans="1:4" x14ac:dyDescent="0.25">
      <c r="A11" s="1" t="s">
        <v>310</v>
      </c>
      <c r="B11" s="1" t="s">
        <v>305</v>
      </c>
      <c r="C11" s="1" t="s">
        <v>311</v>
      </c>
      <c r="D11" s="1" t="s">
        <v>5</v>
      </c>
    </row>
    <row r="12" spans="1:4" x14ac:dyDescent="0.25">
      <c r="A12" s="1" t="s">
        <v>312</v>
      </c>
      <c r="B12" s="1" t="s">
        <v>305</v>
      </c>
      <c r="C12" s="1" t="s">
        <v>313</v>
      </c>
      <c r="D12" s="1" t="s">
        <v>136</v>
      </c>
    </row>
    <row r="13" spans="1:4" x14ac:dyDescent="0.25">
      <c r="A13" s="1" t="s">
        <v>314</v>
      </c>
      <c r="B13" s="1" t="s">
        <v>305</v>
      </c>
      <c r="C13" s="1" t="s">
        <v>8</v>
      </c>
      <c r="D13" s="1" t="s">
        <v>315</v>
      </c>
    </row>
    <row r="14" spans="1:4" x14ac:dyDescent="0.25">
      <c r="A14" s="1" t="s">
        <v>316</v>
      </c>
      <c r="B14" s="1" t="s">
        <v>305</v>
      </c>
      <c r="C14" s="1" t="s">
        <v>317</v>
      </c>
      <c r="D14" s="1" t="s">
        <v>12</v>
      </c>
    </row>
    <row r="15" spans="1:4" x14ac:dyDescent="0.25">
      <c r="A15" s="1" t="s">
        <v>318</v>
      </c>
      <c r="B15" s="1" t="s">
        <v>305</v>
      </c>
      <c r="C15" s="1" t="s">
        <v>319</v>
      </c>
      <c r="D15" s="1" t="s">
        <v>19</v>
      </c>
    </row>
    <row r="16" spans="1:4" x14ac:dyDescent="0.25">
      <c r="A16" s="1" t="s">
        <v>320</v>
      </c>
      <c r="B16" s="1" t="s">
        <v>305</v>
      </c>
      <c r="C16" s="1" t="s">
        <v>21</v>
      </c>
      <c r="D16" s="1" t="s">
        <v>19</v>
      </c>
    </row>
    <row r="17" spans="1:4" x14ac:dyDescent="0.25">
      <c r="A17" s="1" t="s">
        <v>321</v>
      </c>
      <c r="B17" s="1" t="s">
        <v>305</v>
      </c>
      <c r="C17" s="1" t="s">
        <v>21</v>
      </c>
      <c r="D17" s="1" t="s">
        <v>19</v>
      </c>
    </row>
    <row r="18" spans="1:4" x14ac:dyDescent="0.25">
      <c r="A18" s="1" t="s">
        <v>322</v>
      </c>
      <c r="B18" s="1" t="s">
        <v>305</v>
      </c>
      <c r="C18" s="1" t="s">
        <v>28</v>
      </c>
      <c r="D18" s="1" t="s">
        <v>26</v>
      </c>
    </row>
    <row r="19" spans="1:4" x14ac:dyDescent="0.25">
      <c r="A19" s="1" t="s">
        <v>323</v>
      </c>
      <c r="B19" s="1" t="s">
        <v>305</v>
      </c>
      <c r="C19" s="1" t="s">
        <v>324</v>
      </c>
      <c r="D19" s="1" t="s">
        <v>26</v>
      </c>
    </row>
    <row r="20" spans="1:4" x14ac:dyDescent="0.25">
      <c r="A20" s="1" t="s">
        <v>325</v>
      </c>
      <c r="B20" s="1" t="s">
        <v>305</v>
      </c>
      <c r="C20" s="1" t="s">
        <v>55</v>
      </c>
      <c r="D20" s="1" t="s">
        <v>26</v>
      </c>
    </row>
    <row r="21" spans="1:4" x14ac:dyDescent="0.25">
      <c r="A21" s="1" t="s">
        <v>326</v>
      </c>
      <c r="B21" s="1" t="s">
        <v>305</v>
      </c>
      <c r="C21" s="1" t="s">
        <v>327</v>
      </c>
      <c r="D21" s="1" t="s">
        <v>26</v>
      </c>
    </row>
    <row r="22" spans="1:4" x14ac:dyDescent="0.25">
      <c r="A22" s="1" t="s">
        <v>328</v>
      </c>
      <c r="B22" s="1" t="s">
        <v>305</v>
      </c>
      <c r="C22" s="1" t="s">
        <v>329</v>
      </c>
      <c r="D22" s="1" t="s">
        <v>103</v>
      </c>
    </row>
    <row r="23" spans="1:4" x14ac:dyDescent="0.25">
      <c r="A23" s="1" t="s">
        <v>330</v>
      </c>
      <c r="B23" s="1" t="s">
        <v>305</v>
      </c>
      <c r="C23" s="1" t="s">
        <v>331</v>
      </c>
      <c r="D23" s="1" t="s">
        <v>31</v>
      </c>
    </row>
    <row r="24" spans="1:4" x14ac:dyDescent="0.25">
      <c r="A24" s="1" t="s">
        <v>332</v>
      </c>
      <c r="B24" s="1" t="s">
        <v>305</v>
      </c>
      <c r="C24" s="1" t="s">
        <v>333</v>
      </c>
      <c r="D24" s="1" t="s">
        <v>31</v>
      </c>
    </row>
    <row r="25" spans="1:4" x14ac:dyDescent="0.25">
      <c r="A25" s="1" t="s">
        <v>334</v>
      </c>
      <c r="B25" s="1" t="s">
        <v>305</v>
      </c>
      <c r="C25" s="1" t="s">
        <v>335</v>
      </c>
      <c r="D25" s="1" t="s">
        <v>31</v>
      </c>
    </row>
    <row r="26" spans="1:4" x14ac:dyDescent="0.25">
      <c r="A26" s="1" t="s">
        <v>336</v>
      </c>
      <c r="B26" s="1" t="s">
        <v>305</v>
      </c>
      <c r="C26" s="1" t="s">
        <v>122</v>
      </c>
      <c r="D26" s="1" t="s">
        <v>89</v>
      </c>
    </row>
    <row r="27" spans="1:4" x14ac:dyDescent="0.25">
      <c r="A27" s="1" t="s">
        <v>337</v>
      </c>
      <c r="B27" s="1" t="s">
        <v>305</v>
      </c>
      <c r="C27" s="1" t="s">
        <v>210</v>
      </c>
      <c r="D27" s="1" t="s">
        <v>89</v>
      </c>
    </row>
    <row r="28" spans="1:4" x14ac:dyDescent="0.25">
      <c r="A28" s="1" t="s">
        <v>338</v>
      </c>
      <c r="B28" s="1" t="s">
        <v>305</v>
      </c>
      <c r="C28" s="1" t="s">
        <v>339</v>
      </c>
      <c r="D28" s="1" t="s">
        <v>34</v>
      </c>
    </row>
    <row r="29" spans="1:4" x14ac:dyDescent="0.25">
      <c r="A29" s="1" t="s">
        <v>340</v>
      </c>
      <c r="B29" s="1" t="s">
        <v>305</v>
      </c>
      <c r="C29" s="1" t="s">
        <v>341</v>
      </c>
      <c r="D29" s="1" t="s">
        <v>34</v>
      </c>
    </row>
    <row r="30" spans="1:4" x14ac:dyDescent="0.25">
      <c r="A30" s="1" t="s">
        <v>342</v>
      </c>
      <c r="B30" s="1" t="s">
        <v>305</v>
      </c>
      <c r="C30" s="1" t="s">
        <v>339</v>
      </c>
      <c r="D30" s="1" t="s">
        <v>34</v>
      </c>
    </row>
    <row r="31" spans="1:4" x14ac:dyDescent="0.25">
      <c r="A31" s="1" t="s">
        <v>343</v>
      </c>
      <c r="B31" s="1" t="s">
        <v>305</v>
      </c>
      <c r="C31" s="1" t="s">
        <v>73</v>
      </c>
      <c r="D31" s="1" t="s">
        <v>74</v>
      </c>
    </row>
    <row r="32" spans="1:4" x14ac:dyDescent="0.25">
      <c r="A32" s="1" t="s">
        <v>344</v>
      </c>
      <c r="B32" s="1" t="s">
        <v>305</v>
      </c>
      <c r="C32" s="1" t="s">
        <v>292</v>
      </c>
      <c r="D3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</vt:lpstr>
      <vt:lpstr>VI</vt:lpstr>
      <vt:lpstr>VII</vt:lpstr>
      <vt:lpstr>VIII</vt:lpstr>
      <vt:lpstr>IX</vt:lpstr>
      <vt:lpstr>X</vt:lpstr>
      <vt:lpstr>XI</vt:lpstr>
      <vt:lpstr>XII</vt:lpstr>
      <vt:lpstr>Összegzés</vt:lpstr>
      <vt:lpstr>Kisérőtanárok</vt:lpstr>
      <vt:lpstr>Versenybizottság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Orbán Dávid</dc:creator>
  <cp:lastModifiedBy>Orbán Dávid</cp:lastModifiedBy>
  <dcterms:created xsi:type="dcterms:W3CDTF">2026-02-19T12:18:36Z</dcterms:created>
  <dcterms:modified xsi:type="dcterms:W3CDTF">2026-02-26T14:33:46Z</dcterms:modified>
</cp:coreProperties>
</file>